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使用说明" sheetId="1" r:id="rId1"/>
    <sheet name="参数设置" sheetId="2" r:id="rId2"/>
    <sheet name="流水记录" sheetId="3" r:id="rId3"/>
    <sheet name="收入规划" sheetId="4" r:id="rId4"/>
    <sheet name="月度预算" sheetId="5" r:id="rId5"/>
    <sheet name="月度仪表盘" sheetId="6" r:id="rId6"/>
    <sheet name="应急金" sheetId="7" r:id="rId7"/>
    <sheet name="债务管理" sheetId="8" r:id="rId8"/>
    <sheet name="资产配置" sheetId="9" r:id="rId9"/>
    <sheet name="目标计划" sheetId="10" r:id="rId10"/>
    <sheet name="资料来源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<sst xmlns="http://schemas.openxmlformats.org/spreadsheetml/2006/main" count="457" uniqueCount="285">
  <si>
    <t>个人资金管理模板｜浮动工资 + 不定期收入版</t>
  </si>
  <si>
    <t>使用流程</t>
  </si>
  <si>
    <t>说明</t>
  </si>
  <si>
    <t>1. 先改参数</t>
  </si>
  <si>
    <t>在《参数设置》里修改黄色单元格：工资收入下限/上限、保守预算基准、比例、应急金目标。</t>
  </si>
  <si>
    <t>2. 记录流水</t>
  </si>
  <si>
    <t>在《流水记录》逐笔记录收入和支出。工资收入的“子类别”填“工资”；非工资收入填“奖金/绩效、副业收入、理财收益、红包/礼金、报销、其他收入”等。</t>
  </si>
  <si>
    <t>3. 保守预算</t>
  </si>
  <si>
    <t>系统默认按 7000 元保守工资基准做基础预算，避免低收入月份超支。</t>
  </si>
  <si>
    <t>4. 处理额外收入</t>
  </si>
  <si>
    <t>实际总收入超过保守预算基准的部分，会自动按 70% 储蓄/投资/还债、20% 专项准备金、10% 弹性消费分配。</t>
  </si>
  <si>
    <t>5. 看仪表盘</t>
  </si>
  <si>
    <t>《月度仪表盘》会自动显示本月工资收入、非工资收入、额外收入、结余、储蓄/偿债率、应急金和净资产。</t>
  </si>
  <si>
    <t>6. 月底复盘</t>
  </si>
  <si>
    <t>月底看《收入规划》和《月度预算》：低收入月控制弹性消费；高收入月优先补应急金、还高息债或定投。</t>
  </si>
  <si>
    <t>颜色说明</t>
  </si>
  <si>
    <t>黄色为可手动修改；蓝色为自动计算公式，通常不要手动改。</t>
  </si>
  <si>
    <t>参数设置｜按你的浮动收入情况设置</t>
  </si>
  <si>
    <t>项目</t>
  </si>
  <si>
    <t>数值</t>
  </si>
  <si>
    <t>账户</t>
  </si>
  <si>
    <t>类型</t>
  </si>
  <si>
    <t>子类别</t>
  </si>
  <si>
    <t>状态</t>
  </si>
  <si>
    <t>风险等级</t>
  </si>
  <si>
    <t>工资收入下限</t>
  </si>
  <si>
    <t>你的月工资大致最低值；用于提醒工资异常低的月份。</t>
  </si>
  <si>
    <t>工资卡</t>
  </si>
  <si>
    <t>收入</t>
  </si>
  <si>
    <t>工资</t>
  </si>
  <si>
    <t>待录入</t>
  </si>
  <si>
    <t>保守</t>
  </si>
  <si>
    <t>工资收入上限</t>
  </si>
  <si>
    <t>你的月工资大致最高值；用于识别高收入月份。</t>
  </si>
  <si>
    <t>生活账户</t>
  </si>
  <si>
    <t>必要支出</t>
  </si>
  <si>
    <t>奖金/绩效</t>
  </si>
  <si>
    <t>正常</t>
  </si>
  <si>
    <t>平衡</t>
  </si>
  <si>
    <t>保守预算基准</t>
  </si>
  <si>
    <t>建议用工资下限做预算，不依赖奖金、副业或临时收入。</t>
  </si>
  <si>
    <t>应急金账户</t>
  </si>
  <si>
    <t>储蓄投资</t>
  </si>
  <si>
    <t>副业收入</t>
  </si>
  <si>
    <t>优秀</t>
  </si>
  <si>
    <t>进取</t>
  </si>
  <si>
    <t>工资收入参考均值</t>
  </si>
  <si>
    <t>仅供参考，用来观察长期平均收入。</t>
  </si>
  <si>
    <t>投资账户</t>
  </si>
  <si>
    <t>弹性消费</t>
  </si>
  <si>
    <t>理财收益</t>
  </si>
  <si>
    <t>超支</t>
  </si>
  <si>
    <t>必要支出比例</t>
  </si>
  <si>
    <t>以保守预算基准计算。</t>
  </si>
  <si>
    <t>快乐消费账户</t>
  </si>
  <si>
    <t>债务还款</t>
  </si>
  <si>
    <t>红包/礼金</t>
  </si>
  <si>
    <t>需要关注</t>
  </si>
  <si>
    <t>基础储蓄/投资/还债比例</t>
  </si>
  <si>
    <t>债务还款账户</t>
  </si>
  <si>
    <t>专项准备金</t>
  </si>
  <si>
    <t>报销</t>
  </si>
  <si>
    <t>进行中</t>
  </si>
  <si>
    <t>基础弹性消费比例</t>
  </si>
  <si>
    <t>专项准备金账户</t>
  </si>
  <si>
    <t>转账</t>
  </si>
  <si>
    <t>其他收入</t>
  </si>
  <si>
    <t>已完成</t>
  </si>
  <si>
    <t>应急金目标月数</t>
  </si>
  <si>
    <t>建议先做到 3 个月必要生活费，再逐步提高。</t>
  </si>
  <si>
    <t>其他</t>
  </si>
  <si>
    <t>房租/房贷</t>
  </si>
  <si>
    <t>每月必要生活费估算</t>
  </si>
  <si>
    <t>用于计算应急金目标；请按你的真实最低生活费修改。</t>
  </si>
  <si>
    <t>餐饮</t>
  </si>
  <si>
    <t>年度</t>
  </si>
  <si>
    <t>用于生成月度表。</t>
  </si>
  <si>
    <t>交通</t>
  </si>
  <si>
    <t>额外收入→储蓄/投资/还债</t>
  </si>
  <si>
    <t>总收入超过保守预算基准的部分。</t>
  </si>
  <si>
    <t>水电通讯</t>
  </si>
  <si>
    <t>额外收入→专项准备金</t>
  </si>
  <si>
    <t>用于年度账单、旅行、学习、维修、红包等不规则支出。</t>
  </si>
  <si>
    <t>医疗</t>
  </si>
  <si>
    <t>额外收入→弹性消费</t>
  </si>
  <si>
    <t>给自己留一点奖励，但避免额外收入全部花掉。</t>
  </si>
  <si>
    <t>应急金</t>
  </si>
  <si>
    <t>债务偿还策略</t>
  </si>
  <si>
    <t>先还最高年利率</t>
  </si>
  <si>
    <t>适合多数高息消费贷/信用卡债务。</t>
  </si>
  <si>
    <t>基金定投</t>
  </si>
  <si>
    <t>复盘提醒</t>
  </si>
  <si>
    <t>每月底复盘一次</t>
  </si>
  <si>
    <t>固定时间复盘，减少临时决策。</t>
  </si>
  <si>
    <t>股票/权益</t>
  </si>
  <si>
    <t>基础比例合计</t>
  </si>
  <si>
    <t>应等于 100%。</t>
  </si>
  <si>
    <t>债券/固收</t>
  </si>
  <si>
    <t>额外收入比例合计</t>
  </si>
  <si>
    <t>信用卡/消费贷</t>
  </si>
  <si>
    <t>校验结果</t>
  </si>
  <si>
    <t>若非“通过”，请检查黄色参数。</t>
  </si>
  <si>
    <t>建议</t>
  </si>
  <si>
    <t>工资按下限预算；高于下限和非工资收入优先补安全垫/还债/投资</t>
  </si>
  <si>
    <t/>
  </si>
  <si>
    <t>娱乐</t>
  </si>
  <si>
    <t>购物</t>
  </si>
  <si>
    <t>旅行</t>
  </si>
  <si>
    <t>学习提升</t>
  </si>
  <si>
    <t>流水记录｜逐笔记录收入、支出、储蓄、还债</t>
  </si>
  <si>
    <t>日期</t>
  </si>
  <si>
    <t>月份</t>
  </si>
  <si>
    <t>收入来源/资金去向</t>
  </si>
  <si>
    <t>是否固定</t>
  </si>
  <si>
    <t>金额</t>
  </si>
  <si>
    <t>备注</t>
  </si>
  <si>
    <t>公司工资</t>
  </si>
  <si>
    <t>浮动</t>
  </si>
  <si>
    <t>工资到账</t>
  </si>
  <si>
    <t>示例：工资在 7000-8500 间浮动</t>
  </si>
  <si>
    <t>副业/兼职</t>
  </si>
  <si>
    <t>一次性</t>
  </si>
  <si>
    <t>示例：非工资收入</t>
  </si>
  <si>
    <t>绩效奖金</t>
  </si>
  <si>
    <t>奖金到账</t>
  </si>
  <si>
    <t>示例：不定期收入</t>
  </si>
  <si>
    <t>房东/房贷</t>
  </si>
  <si>
    <t>固定</t>
  </si>
  <si>
    <t>房租</t>
  </si>
  <si>
    <t>示例</t>
  </si>
  <si>
    <t>日常餐饮</t>
  </si>
  <si>
    <t>通勤</t>
  </si>
  <si>
    <t>水电网话费</t>
  </si>
  <si>
    <t>安全垫</t>
  </si>
  <si>
    <t>应急金转入</t>
  </si>
  <si>
    <t>指数基金</t>
  </si>
  <si>
    <t>还款</t>
  </si>
  <si>
    <t>年度/临时支出</t>
  </si>
  <si>
    <t>准备金转入</t>
  </si>
  <si>
    <t>聚餐娱乐</t>
  </si>
  <si>
    <t>聚餐</t>
  </si>
  <si>
    <t>日用品/服饰</t>
  </si>
  <si>
    <t>收入规划｜工资浮动区间与不定期收入跟踪</t>
  </si>
  <si>
    <t>指标</t>
  </si>
  <si>
    <t>额外收入使用规则</t>
  </si>
  <si>
    <t>工资下限</t>
  </si>
  <si>
    <t>低于此值会在月表提醒。</t>
  </si>
  <si>
    <t>1. 工资预算先按保守基准，不按最高工资花钱。</t>
  </si>
  <si>
    <t>工资上限</t>
  </si>
  <si>
    <t>高于此值说明工资明显较高。</t>
  </si>
  <si>
    <t>2. 工资高于保守基准的部分 + 非工资收入 = 额外收入。</t>
  </si>
  <si>
    <t>预算不按高收入月份膨胀。</t>
  </si>
  <si>
    <t>3. 额外收入默认：70% 储蓄/投资/还债，20% 专项准备金，10% 弹性消费。</t>
  </si>
  <si>
    <t>工资参考均值</t>
  </si>
  <si>
    <t>仅供观察。</t>
  </si>
  <si>
    <t>4. 当应急金未满时，建议把额外收入中的储蓄部分优先补应急金。</t>
  </si>
  <si>
    <t>已录入月份数</t>
  </si>
  <si>
    <t>只统计已记录收入的月份。</t>
  </si>
  <si>
    <t>已录入总收入</t>
  </si>
  <si>
    <t>已录入非工资收入</t>
  </si>
  <si>
    <t>平均月总收入</t>
  </si>
  <si>
    <t>工资收入</t>
  </si>
  <si>
    <t>非工资收入</t>
  </si>
  <si>
    <t>总收入</t>
  </si>
  <si>
    <t>额外收入</t>
  </si>
  <si>
    <t>工资区间提醒</t>
  </si>
  <si>
    <t>建议储蓄/还债</t>
  </si>
  <si>
    <t>建议准备金</t>
  </si>
  <si>
    <t>建议弹性</t>
  </si>
  <si>
    <t>本月结余</t>
  </si>
  <si>
    <t>月度预算｜保守基准 + 额外收入自动分配</t>
  </si>
  <si>
    <t>规则：基础预算只按保守预算基准计算；工资高于基准和非工资收入合并为额外收入，再按参数设置比例分配。</t>
  </si>
  <si>
    <t>实际总收入</t>
  </si>
  <si>
    <t>预算采用收入</t>
  </si>
  <si>
    <t>必要预算</t>
  </si>
  <si>
    <t>基础储蓄/还债预算</t>
  </si>
  <si>
    <t>基础弹性预算</t>
  </si>
  <si>
    <t>额外转储蓄/还债</t>
  </si>
  <si>
    <t>额外转准备金</t>
  </si>
  <si>
    <t>额外转弹性</t>
  </si>
  <si>
    <t>实际必要</t>
  </si>
  <si>
    <t>实际储蓄投资</t>
  </si>
  <si>
    <t>实际弹性</t>
  </si>
  <si>
    <t>实际还债</t>
  </si>
  <si>
    <t>实际准备金</t>
  </si>
  <si>
    <t>实际储蓄/偿债率</t>
  </si>
  <si>
    <t>月度仪表盘｜一页看懂现金流、额外收入、应急金和资产</t>
  </si>
  <si>
    <t>查看月份</t>
  </si>
  <si>
    <t>储蓄/偿债率</t>
  </si>
  <si>
    <t>应急金达成</t>
  </si>
  <si>
    <t>净资产</t>
  </si>
  <si>
    <t>本月执行建议</t>
  </si>
  <si>
    <t>低收入月</t>
  </si>
  <si>
    <t>按保守基准控制必要支出和弹性消费。</t>
  </si>
  <si>
    <t>高收入月</t>
  </si>
  <si>
    <t>额外收入优先补应急金、还高息债、定投。</t>
  </si>
  <si>
    <t>本月预算 vs 实际</t>
  </si>
  <si>
    <t>不定期收入</t>
  </si>
  <si>
    <t>不要直接并入日常消费，先按比例分配。</t>
  </si>
  <si>
    <t>类别</t>
  </si>
  <si>
    <t>实际</t>
  </si>
  <si>
    <t>差额</t>
  </si>
  <si>
    <t>复盘重点</t>
  </si>
  <si>
    <t>看结余、储蓄/偿债率和应急金达成率。</t>
  </si>
  <si>
    <t>储蓄/投资/还债</t>
  </si>
  <si>
    <t>结余</t>
  </si>
  <si>
    <t>资产类别</t>
  </si>
  <si>
    <t>当前金额</t>
  </si>
  <si>
    <t>当前比例</t>
  </si>
  <si>
    <t>债务</t>
  </si>
  <si>
    <t>余额</t>
  </si>
  <si>
    <t>年利率</t>
  </si>
  <si>
    <t>应急金｜先补安全垫，再做高波动投资</t>
  </si>
  <si>
    <t>核心指标</t>
  </si>
  <si>
    <t>12个月补足计划</t>
  </si>
  <si>
    <t>计划存入</t>
  </si>
  <si>
    <t>实际存入</t>
  </si>
  <si>
    <t>累计达成率</t>
  </si>
  <si>
    <t>每月必要生活费</t>
  </si>
  <si>
    <t>目标月数</t>
  </si>
  <si>
    <t>目标金额</t>
  </si>
  <si>
    <t>期初应急金余额（手填）</t>
  </si>
  <si>
    <t>已记录存入</t>
  </si>
  <si>
    <t>当前应急金余额</t>
  </si>
  <si>
    <t>缺口</t>
  </si>
  <si>
    <t>达成率</t>
  </si>
  <si>
    <t>建议动作</t>
  </si>
  <si>
    <t>债务管理｜优先处理高息债务</t>
  </si>
  <si>
    <t>债务名称</t>
  </si>
  <si>
    <t>当前余额</t>
  </si>
  <si>
    <t>最低月还款</t>
  </si>
  <si>
    <t>额外还款</t>
  </si>
  <si>
    <t>计划月还款</t>
  </si>
  <si>
    <t>优先级</t>
  </si>
  <si>
    <t>预计还清月数</t>
  </si>
  <si>
    <t>信用卡分期</t>
  </si>
  <si>
    <t>消费贷</t>
  </si>
  <si>
    <t>低息房贷/其他</t>
  </si>
  <si>
    <t>汇总</t>
  </si>
  <si>
    <t>总债务余额</t>
  </si>
  <si>
    <t>本月计划还款</t>
  </si>
  <si>
    <t>提示</t>
  </si>
  <si>
    <t>优先把额外收入中的还债部分投向最高利率债务</t>
  </si>
  <si>
    <t>资产配置｜分散风险，定期再平衡</t>
  </si>
  <si>
    <t>目标比例</t>
  </si>
  <si>
    <t>偏差</t>
  </si>
  <si>
    <t>建议调整金额</t>
  </si>
  <si>
    <t>现金/活期</t>
  </si>
  <si>
    <t>日常流动性</t>
  </si>
  <si>
    <t>先补足目标</t>
  </si>
  <si>
    <t>稳定组合</t>
  </si>
  <si>
    <t>权益基金/股票</t>
  </si>
  <si>
    <t>长期增长</t>
  </si>
  <si>
    <t>黄金/商品</t>
  </si>
  <si>
    <t>小比例分散</t>
  </si>
  <si>
    <t>合计</t>
  </si>
  <si>
    <t>目标计划｜把不定期收入转化为明确目标</t>
  </si>
  <si>
    <t>目标名称</t>
  </si>
  <si>
    <t>目标类型</t>
  </si>
  <si>
    <t>每月投入</t>
  </si>
  <si>
    <t>目标日期</t>
  </si>
  <si>
    <t>完成率</t>
  </si>
  <si>
    <t>预计还需月数</t>
  </si>
  <si>
    <t>应急金目标</t>
  </si>
  <si>
    <t>年度旅行/学习准备金</t>
  </si>
  <si>
    <t>长期投资账户</t>
  </si>
  <si>
    <t>长期投资</t>
  </si>
  <si>
    <t>资料来源与模型说明</t>
  </si>
  <si>
    <t>用途</t>
  </si>
  <si>
    <t>来源/链接</t>
  </si>
  <si>
    <t>预算分配</t>
  </si>
  <si>
    <t>模板使用 50/30/20 思路，并按用户浮动收入情况改成保守基准 + 额外收入分配。</t>
  </si>
  <si>
    <t>https://files.consumerfinance.gov/f/documents/cfpb_worksheet_my-spending-rule-to-live-by.pdf</t>
  </si>
  <si>
    <t>比例可在《参数设置》修改。</t>
  </si>
  <si>
    <t>模板用 3 个月必要生活费作为初始目标，可逐步提高。</t>
  </si>
  <si>
    <t>https://www.consumerfinance.gov/an-essential-guide-to-building-an-emergency-fund/</t>
  </si>
  <si>
    <t>目标月数可修改。</t>
  </si>
  <si>
    <t>资产配置</t>
  </si>
  <si>
    <t>资产配置应按期限、风险承受能力和现金流调整。</t>
  </si>
  <si>
    <t>https://www.investor.gov/introduction-investing/getting-started/asset-allocation</t>
  </si>
  <si>
    <t>不构成投资建议。</t>
  </si>
  <si>
    <t>个人输入</t>
  </si>
  <si>
    <t>工资下限 7000、工资上限 8500、非工资收入不定期不定额。</t>
  </si>
  <si>
    <t>用户提供</t>
  </si>
  <si>
    <t>模板已按这些条件调整。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</si>
</sst>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[Red]\-\¥#,##0"/>
    <numFmt numFmtId="177" formatCode="yyyy\-mm\-dd"/>
    <numFmt numFmtId="178" formatCode="0.0%"/>
    <numFmt numFmtId="179" formatCode="yyyy\-mm"/>
  </numFmts>
  <fonts count="25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rgb="FF37415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2A44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DEB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4" borderId="0" xfId="49" applyNumberFormat="1" applyFont="1" applyFill="1" applyBorder="1"/>
    <xf numFmtId="176" fontId="0" fillId="4" borderId="0" xfId="49" applyNumberFormat="1" applyFont="1" applyFill="1" applyBorder="1"/>
    <xf numFmtId="177" fontId="0" fillId="4" borderId="0" xfId="49" applyNumberFormat="1" applyFont="1" applyFill="1" applyBorder="1"/>
    <xf numFmtId="9" fontId="0" fillId="5" borderId="0" xfId="49" applyNumberFormat="1" applyFont="1" applyFill="1" applyBorder="1"/>
    <xf numFmtId="0" fontId="0" fillId="5" borderId="0" xfId="49" applyNumberFormat="1" applyFont="1" applyFill="1" applyBorder="1"/>
    <xf numFmtId="9" fontId="0" fillId="4" borderId="0" xfId="49" applyNumberFormat="1" applyFont="1" applyFill="1" applyBorder="1"/>
    <xf numFmtId="176" fontId="0" fillId="5" borderId="0" xfId="49" applyNumberFormat="1" applyFont="1" applyFill="1" applyBorder="1"/>
    <xf numFmtId="176" fontId="0" fillId="0" borderId="0" xfId="49" applyNumberFormat="1" applyFont="1" applyFill="1" applyBorder="1"/>
    <xf numFmtId="9" fontId="0" fillId="0" borderId="0" xfId="49" applyNumberFormat="1" applyFont="1" applyFill="1" applyBorder="1"/>
    <xf numFmtId="0" fontId="3" fillId="6" borderId="0" xfId="49" applyNumberFormat="1" applyFont="1" applyFill="1" applyBorder="1"/>
    <xf numFmtId="176" fontId="3" fillId="6" borderId="0" xfId="49" applyNumberFormat="1" applyFont="1" applyFill="1" applyBorder="1"/>
    <xf numFmtId="9" fontId="3" fillId="6" borderId="0" xfId="49" applyNumberFormat="1" applyFont="1" applyFill="1" applyBorder="1"/>
    <xf numFmtId="178" fontId="0" fillId="0" borderId="0" xfId="49" applyNumberFormat="1" applyFont="1" applyFill="1" applyBorder="1"/>
    <xf numFmtId="0" fontId="3" fillId="7" borderId="0" xfId="49" applyNumberFormat="1" applyFont="1" applyFill="1" applyBorder="1" applyAlignment="1">
      <alignment wrapText="1"/>
    </xf>
    <xf numFmtId="179" fontId="0" fillId="5" borderId="0" xfId="49" applyNumberFormat="1" applyFont="1" applyFill="1" applyBorder="1"/>
    <xf numFmtId="0" fontId="3" fillId="7" borderId="0" xfId="49" applyNumberFormat="1" applyFont="1" applyFill="1" applyBorder="1"/>
    <xf numFmtId="179" fontId="0" fillId="4" borderId="0" xfId="49" applyNumberFormat="1" applyFont="1" applyFill="1" applyBorder="1"/>
    <xf numFmtId="0" fontId="4" fillId="6" borderId="0" xfId="49" applyNumberFormat="1" applyFont="1" applyFill="1" applyBorder="1" applyAlignment="1">
      <alignment wrapText="1"/>
    </xf>
    <xf numFmtId="178" fontId="0" fillId="5" borderId="0" xfId="49" applyNumberFormat="1" applyFont="1" applyFill="1" applyBorder="1"/>
    <xf numFmtId="179" fontId="0" fillId="5" borderId="0" xfId="49" applyNumberFormat="1" applyFont="1" applyFill="1" applyBorder="1" applyAlignment="1">
      <alignment wrapText="1"/>
    </xf>
    <xf numFmtId="176" fontId="0" fillId="5" borderId="0" xfId="49" applyNumberFormat="1" applyFont="1" applyFill="1" applyBorder="1" applyAlignment="1">
      <alignment wrapText="1"/>
    </xf>
    <xf numFmtId="9" fontId="0" fillId="5" borderId="0" xfId="49" applyNumberFormat="1" applyFont="1" applyFill="1" applyBorder="1" applyAlignment="1">
      <alignment wrapText="1"/>
    </xf>
    <xf numFmtId="0" fontId="0" fillId="5" borderId="0" xfId="49" applyNumberFormat="1" applyFont="1" applyFill="1" applyBorder="1" applyAlignment="1">
      <alignment wrapText="1"/>
    </xf>
    <xf numFmtId="0" fontId="0" fillId="4" borderId="0" xfId="49" applyNumberFormat="1" applyFont="1" applyFill="1" applyBorder="1" applyAlignment="1">
      <alignment wrapText="1"/>
    </xf>
    <xf numFmtId="176" fontId="0" fillId="0" borderId="0" xfId="49" applyNumberFormat="1" applyFont="1" applyFill="1" applyBorder="1" applyAlignment="1">
      <alignment wrapText="1"/>
    </xf>
    <xf numFmtId="0" fontId="4" fillId="0" borderId="0" xfId="49" applyNumberFormat="1" applyFont="1" applyFill="1" applyBorder="1" applyAlignment="1">
      <alignment wrapText="1"/>
    </xf>
    <xf numFmtId="0" fontId="0" fillId="7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工资与非工资收入趋势</a:t>
            </a: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"工资收入"</c:f>
              <c:strCache>
                <c:ptCount val="1"/>
                <c:pt idx="0">
                  <c:v>工资收入</c:v>
                </c:pt>
              </c:strCache>
            </c:strRef>
          </c:tx>
          <c:dLbls>
            <c:delete val="1"/>
          </c:dLbls>
          <c:cat>
            <c:numRef>
              <c:f>收入规划!$A$15:$A$26</c:f>
              <c:numCache>
                <c:formatCode>yyyy\-mm</c:formatCode>
                <c:ptCount val="12"/>
                <c:pt idx="0" c:formatCode="yyyy\-mm">
                  <c:v>46023</c:v>
                </c:pt>
                <c:pt idx="1" c:formatCode="yyyy\-mm">
                  <c:v>46054</c:v>
                </c:pt>
                <c:pt idx="2" c:formatCode="yyyy\-mm">
                  <c:v>46082</c:v>
                </c:pt>
                <c:pt idx="3" c:formatCode="yyyy\-mm">
                  <c:v>46113</c:v>
                </c:pt>
                <c:pt idx="4" c:formatCode="yyyy\-mm">
                  <c:v>46143</c:v>
                </c:pt>
                <c:pt idx="5" c:formatCode="yyyy\-mm">
                  <c:v>46174</c:v>
                </c:pt>
                <c:pt idx="6" c:formatCode="yyyy\-mm">
                  <c:v>46204</c:v>
                </c:pt>
                <c:pt idx="7" c:formatCode="yyyy\-mm">
                  <c:v>46235</c:v>
                </c:pt>
                <c:pt idx="8" c:formatCode="yyyy\-mm">
                  <c:v>46266</c:v>
                </c:pt>
                <c:pt idx="9" c:formatCode="yyyy\-mm">
                  <c:v>46296</c:v>
                </c:pt>
                <c:pt idx="10" c:formatCode="yyyy\-mm">
                  <c:v>46327</c:v>
                </c:pt>
                <c:pt idx="11" c:formatCode="yyyy\-mm">
                  <c:v>46357</c:v>
                </c:pt>
              </c:numCache>
            </c:numRef>
          </c:cat>
          <c:val>
            <c:numRef>
              <c:f>收入规划!$B$15:$B$26</c:f>
              <c:numCache>
                <c:formatCode>\¥#,##0;[Red]\-\¥#,##0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"非工资收入"</c:f>
              <c:strCache>
                <c:ptCount val="1"/>
                <c:pt idx="0">
                  <c:v>非工资收入</c:v>
                </c:pt>
              </c:strCache>
            </c:strRef>
          </c:tx>
          <c:dLbls>
            <c:delete val="1"/>
          </c:dLbls>
          <c:cat>
            <c:numRef>
              <c:f>收入规划!$A$15:$A$26</c:f>
              <c:numCache>
                <c:formatCode>yyyy\-mm</c:formatCode>
                <c:ptCount val="12"/>
                <c:pt idx="0" c:formatCode="yyyy\-mm">
                  <c:v>46023</c:v>
                </c:pt>
                <c:pt idx="1" c:formatCode="yyyy\-mm">
                  <c:v>46054</c:v>
                </c:pt>
                <c:pt idx="2" c:formatCode="yyyy\-mm">
                  <c:v>46082</c:v>
                </c:pt>
                <c:pt idx="3" c:formatCode="yyyy\-mm">
                  <c:v>46113</c:v>
                </c:pt>
                <c:pt idx="4" c:formatCode="yyyy\-mm">
                  <c:v>46143</c:v>
                </c:pt>
                <c:pt idx="5" c:formatCode="yyyy\-mm">
                  <c:v>46174</c:v>
                </c:pt>
                <c:pt idx="6" c:formatCode="yyyy\-mm">
                  <c:v>46204</c:v>
                </c:pt>
                <c:pt idx="7" c:formatCode="yyyy\-mm">
                  <c:v>46235</c:v>
                </c:pt>
                <c:pt idx="8" c:formatCode="yyyy\-mm">
                  <c:v>46266</c:v>
                </c:pt>
                <c:pt idx="9" c:formatCode="yyyy\-mm">
                  <c:v>46296</c:v>
                </c:pt>
                <c:pt idx="10" c:formatCode="yyyy\-mm">
                  <c:v>46327</c:v>
                </c:pt>
                <c:pt idx="11" c:formatCode="yyyy\-mm">
                  <c:v>46357</c:v>
                </c:pt>
              </c:numCache>
            </c:numRef>
          </c:cat>
          <c:val>
            <c:numRef>
              <c:f>收入规划!$C$15:$C$26</c:f>
              <c:numCache>
                <c:formatCode>\¥#,##0;[Red]\-\¥#,##0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"总收入"</c:f>
              <c:strCache>
                <c:ptCount val="1"/>
                <c:pt idx="0">
                  <c:v>总收入</c:v>
                </c:pt>
              </c:strCache>
            </c:strRef>
          </c:tx>
          <c:dLbls>
            <c:delete val="1"/>
          </c:dLbls>
          <c:cat>
            <c:numRef>
              <c:f>收入规划!$A$15:$A$26</c:f>
              <c:numCache>
                <c:formatCode>yyyy\-mm</c:formatCode>
                <c:ptCount val="12"/>
                <c:pt idx="0" c:formatCode="yyyy\-mm">
                  <c:v>46023</c:v>
                </c:pt>
                <c:pt idx="1" c:formatCode="yyyy\-mm">
                  <c:v>46054</c:v>
                </c:pt>
                <c:pt idx="2" c:formatCode="yyyy\-mm">
                  <c:v>46082</c:v>
                </c:pt>
                <c:pt idx="3" c:formatCode="yyyy\-mm">
                  <c:v>46113</c:v>
                </c:pt>
                <c:pt idx="4" c:formatCode="yyyy\-mm">
                  <c:v>46143</c:v>
                </c:pt>
                <c:pt idx="5" c:formatCode="yyyy\-mm">
                  <c:v>46174</c:v>
                </c:pt>
                <c:pt idx="6" c:formatCode="yyyy\-mm">
                  <c:v>46204</c:v>
                </c:pt>
                <c:pt idx="7" c:formatCode="yyyy\-mm">
                  <c:v>46235</c:v>
                </c:pt>
                <c:pt idx="8" c:formatCode="yyyy\-mm">
                  <c:v>46266</c:v>
                </c:pt>
                <c:pt idx="9" c:formatCode="yyyy\-mm">
                  <c:v>46296</c:v>
                </c:pt>
                <c:pt idx="10" c:formatCode="yyyy\-mm">
                  <c:v>46327</c:v>
                </c:pt>
                <c:pt idx="11" c:formatCode="yyyy\-mm">
                  <c:v>46357</c:v>
                </c:pt>
              </c:numCache>
            </c:numRef>
          </c:cat>
          <c:val>
            <c:numRef>
              <c:f>收入规划!$D$15:$D$26</c:f>
              <c:numCache>
                <c:formatCode>\¥#,##0;[Red]\-\¥#,##0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\¥#,##0;[Red]\-\¥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632e51-05c6-40f8-84bc-781f1977189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本月预算 vs 实际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"建议"</c:f>
              <c:strCache>
                <c:ptCount val="1"/>
                <c:pt idx="0">
                  <c:v>建议</c:v>
                </c:pt>
              </c:strCache>
            </c:strRef>
          </c:tx>
          <c:invertIfNegative val="0"/>
          <c:dLbls>
            <c:delete val="1"/>
          </c:dLbls>
          <c:cat>
            <c:strRef>
              <c:f>月度仪表盘!$A$10:$A$13</c:f>
              <c:strCache>
                <c:ptCount val="4"/>
                <c:pt idx="0">
                  <c:v>必要支出</c:v>
                </c:pt>
                <c:pt idx="1">
                  <c:v>储蓄/投资/还债</c:v>
                </c:pt>
                <c:pt idx="2">
                  <c:v>专项准备金</c:v>
                </c:pt>
                <c:pt idx="3">
                  <c:v>弹性消费</c:v>
                </c:pt>
              </c:strCache>
            </c:strRef>
          </c:cat>
          <c:val>
            <c:numRef>
              <c:f>月度仪表盘!$B$10:$B$13</c:f>
              <c:numCache>
                <c:formatCode>\¥#,##0;[Red]\-\¥#,##0</c:formatCode>
                <c:ptCount val="4"/>
                <c:pt idx="0">
                  <c:v>3500</c:v>
                </c:pt>
                <c:pt idx="1">
                  <c:v>3570</c:v>
                </c:pt>
                <c:pt idx="2">
                  <c:v>420</c:v>
                </c:pt>
                <c:pt idx="3">
                  <c:v>1610</c:v>
                </c:pt>
              </c:numCache>
            </c:numRef>
          </c:val>
        </c:ser>
        <c:ser>
          <c:idx val="1"/>
          <c:order val="1"/>
          <c:tx>
            <c:strRef>
              <c:f>"实际"</c:f>
              <c:strCache>
                <c:ptCount val="1"/>
                <c:pt idx="0">
                  <c:v>实际</c:v>
                </c:pt>
              </c:strCache>
            </c:strRef>
          </c:tx>
          <c:invertIfNegative val="0"/>
          <c:dLbls>
            <c:delete val="1"/>
          </c:dLbls>
          <c:cat>
            <c:strRef>
              <c:f>月度仪表盘!$A$10:$A$13</c:f>
              <c:strCache>
                <c:ptCount val="4"/>
                <c:pt idx="0">
                  <c:v>必要支出</c:v>
                </c:pt>
                <c:pt idx="1">
                  <c:v>储蓄/投资/还债</c:v>
                </c:pt>
                <c:pt idx="2">
                  <c:v>专项准备金</c:v>
                </c:pt>
                <c:pt idx="3">
                  <c:v>弹性消费</c:v>
                </c:pt>
              </c:strCache>
            </c:strRef>
          </c:cat>
          <c:val>
            <c:numRef>
              <c:f>月度仪表盘!$C$10:$C$13</c:f>
              <c:numCache>
                <c:formatCode>\¥#,##0;[Red]\-\¥#,##0</c:formatCode>
                <c:ptCount val="4"/>
                <c:pt idx="0">
                  <c:v>3900</c:v>
                </c:pt>
                <c:pt idx="1">
                  <c:v>3600</c:v>
                </c:pt>
                <c:pt idx="2">
                  <c:v>400</c:v>
                </c:pt>
                <c:pt idx="3">
                  <c:v>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\¥#,##0;[Red]\-\¥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74f5b7-1385-427a-8c3d-830c00f3043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全年现金流趋势</a:t>
            </a: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"总收入"</c:f>
              <c:strCache>
                <c:ptCount val="1"/>
                <c:pt idx="0">
                  <c:v>总收入</c:v>
                </c:pt>
              </c:strCache>
            </c:strRef>
          </c:tx>
          <c:dLbls>
            <c:delete val="1"/>
          </c:dLbls>
          <c:cat>
            <c:strRef>
              <c:f>月度仪表盘!$A$17:$A$28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月度仪表盘!$B$17:$B$28</c:f>
              <c:numCache>
                <c:formatCode>\¥#,##0;[Red]\-\¥#,##0</c:formatCode>
                <c:ptCount val="12"/>
                <c:pt idx="0">
                  <c:v>9100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"结余"</c:f>
              <c:strCache>
                <c:ptCount val="1"/>
                <c:pt idx="0">
                  <c:v>结余</c:v>
                </c:pt>
              </c:strCache>
            </c:strRef>
          </c:tx>
          <c:dLbls>
            <c:delete val="1"/>
          </c:dLbls>
          <c:cat>
            <c:strRef>
              <c:f>月度仪表盘!$A$17:$A$28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月度仪表盘!$C$17:$C$28</c:f>
              <c:numCache>
                <c:formatCode>\¥#,##0;[Red]\-\¥#,##0</c:formatCode>
                <c:ptCount val="12"/>
                <c:pt idx="0">
                  <c:v>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"储蓄/偿债率"</c:f>
              <c:strCache>
                <c:ptCount val="1"/>
                <c:pt idx="0">
                  <c:v>储蓄/偿债率</c:v>
                </c:pt>
              </c:strCache>
            </c:strRef>
          </c:tx>
          <c:dLbls>
            <c:delete val="1"/>
          </c:dLbls>
          <c:cat>
            <c:strRef>
              <c:f>月度仪表盘!$A$17:$A$28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月度仪表盘!$D$17:$D$28</c:f>
              <c:numCache>
                <c:formatCode>0%</c:formatCode>
                <c:ptCount val="12"/>
                <c:pt idx="0">
                  <c:v>0.43956043956044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\¥#,##0;[Red]\-\¥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fdda08-fbeb-466d-999a-505a2385ddb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当前资产配置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"当前金额"</c:f>
              <c:strCache>
                <c:ptCount val="1"/>
                <c:pt idx="0">
                  <c:v>当前金额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Lbls>
            <c:delete val="1"/>
          </c:dLbls>
          <c:cat>
            <c:strRef>
              <c:f>月度仪表盘!$F$19:$F$24</c:f>
              <c:strCache>
                <c:ptCount val="6"/>
                <c:pt idx="0">
                  <c:v>现金/活期</c:v>
                </c:pt>
                <c:pt idx="1">
                  <c:v>应急金</c:v>
                </c:pt>
                <c:pt idx="2">
                  <c:v>债券/固收</c:v>
                </c:pt>
                <c:pt idx="3">
                  <c:v>权益基金/股票</c:v>
                </c:pt>
                <c:pt idx="4">
                  <c:v>黄金/商品</c:v>
                </c:pt>
                <c:pt idx="5">
                  <c:v>其他</c:v>
                </c:pt>
              </c:strCache>
            </c:strRef>
          </c:cat>
          <c:val>
            <c:numRef>
              <c:f>月度仪表盘!$G$19:$G$24</c:f>
              <c:numCache>
                <c:formatCode>\¥#,##0;[Red]\-\¥#,##0</c:formatCode>
                <c:ptCount val="6"/>
                <c:pt idx="0">
                  <c:v>3000</c:v>
                </c:pt>
                <c:pt idx="1">
                  <c:v>1200</c:v>
                </c:pt>
                <c:pt idx="2">
                  <c:v>4000</c:v>
                </c:pt>
                <c:pt idx="3">
                  <c:v>6000</c:v>
                </c:pt>
                <c:pt idx="4">
                  <c:v>1000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2be61a-441a-4428-ab18-0933bc7f8afa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0</xdr:colOff>
      <xdr:row>2</xdr:row>
      <xdr:rowOff>0</xdr:rowOff>
    </xdr:from>
    <xdr:to>
      <xdr:col>22</xdr:col>
      <xdr:colOff>0</xdr:colOff>
      <xdr:row>16</xdr:row>
      <xdr:rowOff>0</xdr:rowOff>
    </xdr:to>
    <xdr:graphicFrame>
      <xdr:nvGraphicFramePr>
        <xdr:cNvPr id="2" name="Chart"/>
        <xdr:cNvGraphicFramePr/>
      </xdr:nvGraphicFramePr>
      <xdr:xfrm>
        <a:off x="14422120" y="543560"/>
        <a:ext cx="7772400" cy="6393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7</xdr:row>
      <xdr:rowOff>0</xdr:rowOff>
    </xdr:from>
    <xdr:to>
      <xdr:col>9</xdr:col>
      <xdr:colOff>0</xdr:colOff>
      <xdr:row>16</xdr:row>
      <xdr:rowOff>0</xdr:rowOff>
    </xdr:to>
    <xdr:graphicFrame>
      <xdr:nvGraphicFramePr>
        <xdr:cNvPr id="2" name="Chart"/>
        <xdr:cNvGraphicFramePr/>
      </xdr:nvGraphicFramePr>
      <xdr:xfrm>
        <a:off x="5699760" y="2354580"/>
        <a:ext cx="3886200" cy="232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44</xdr:row>
      <xdr:rowOff>0</xdr:rowOff>
    </xdr:to>
    <xdr:graphicFrame>
      <xdr:nvGraphicFramePr>
        <xdr:cNvPr id="3" name="Chart"/>
        <xdr:cNvGraphicFramePr/>
      </xdr:nvGraphicFramePr>
      <xdr:xfrm>
        <a:off x="0" y="7541260"/>
        <a:ext cx="932688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14</xdr:col>
      <xdr:colOff>0</xdr:colOff>
      <xdr:row>42</xdr:row>
      <xdr:rowOff>0</xdr:rowOff>
    </xdr:to>
    <xdr:graphicFrame>
      <xdr:nvGraphicFramePr>
        <xdr:cNvPr id="4" name="Chart"/>
        <xdr:cNvGraphicFramePr/>
      </xdr:nvGraphicFramePr>
      <xdr:xfrm>
        <a:off x="5699760" y="6474460"/>
        <a:ext cx="1001776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actionsTable" displayName="TransactionsTable" ref="A3:J503">
  <tableColumns count="10">
    <tableColumn id="1" name="日期"/>
    <tableColumn id="2" name="月份"/>
    <tableColumn id="3" name="账户"/>
    <tableColumn id="4" name="类型"/>
    <tableColumn id="5" name="子类别"/>
    <tableColumn id="6" name="收入来源/资金去向"/>
    <tableColumn id="7" name="是否固定"/>
    <tableColumn id="8" name="说明"/>
    <tableColumn id="9" name="金额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IncomePlanTable" displayName="IncomePlanTable" ref="A14:K26">
  <tableColumns count="11">
    <tableColumn id="1" name="月份"/>
    <tableColumn id="2" name="工资收入"/>
    <tableColumn id="3" name="非工资收入"/>
    <tableColumn id="4" name="总收入"/>
    <tableColumn id="5" name="额外收入"/>
    <tableColumn id="6" name="工资区间提醒"/>
    <tableColumn id="7" name="建议储蓄/还债"/>
    <tableColumn id="8" name="建议准备金"/>
    <tableColumn id="9" name="建议弹性"/>
    <tableColumn id="10" name="本月结余"/>
    <tableColumn id="11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MonthlyBudgetTable" displayName="MonthlyBudgetTable" ref="A5:X17">
  <tableColumns count="24">
    <tableColumn id="1" name="月份"/>
    <tableColumn id="2" name="工资收入"/>
    <tableColumn id="3" name="非工资收入"/>
    <tableColumn id="4" name="实际总收入"/>
    <tableColumn id="5" name="预算采用收入"/>
    <tableColumn id="6" name="必要预算"/>
    <tableColumn id="7" name="基础储蓄/还债预算"/>
    <tableColumn id="8" name="基础弹性预算"/>
    <tableColumn id="9" name="额外收入"/>
    <tableColumn id="10" name="额外转储蓄/还债"/>
    <tableColumn id="11" name="额外转准备金"/>
    <tableColumn id="12" name="额外转弹性"/>
    <tableColumn id="13" name="建议储蓄/还债"/>
    <tableColumn id="14" name="建议准备金"/>
    <tableColumn id="15" name="建议弹性"/>
    <tableColumn id="16" name="实际必要"/>
    <tableColumn id="17" name="实际储蓄投资"/>
    <tableColumn id="18" name="实际弹性"/>
    <tableColumn id="19" name="实际还债"/>
    <tableColumn id="20" name="实际准备金"/>
    <tableColumn id="21" name="本月结余"/>
    <tableColumn id="22" name="实际储蓄/偿债率"/>
    <tableColumn id="23" name="状态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workbookViewId="0">
      <selection activeCell="A1" sqref="A1:H1"/>
    </sheetView>
  </sheetViews>
  <sheetFormatPr defaultColWidth="9" defaultRowHeight="16.8"/>
  <cols>
    <col min="1" max="1" width="18" customWidth="1"/>
    <col min="2" max="2" width="82" customWidth="1"/>
  </cols>
  <sheetData>
    <row r="1" ht="26" customHeight="1" spans="1:26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ht="24" customHeight="1" spans="1:26">
      <c r="A3" s="3" t="s">
        <v>1</v>
      </c>
      <c r="B3" s="3" t="s">
        <v>2</v>
      </c>
    </row>
    <row r="4" ht="17" spans="1:26">
      <c r="A4" s="17" t="s">
        <v>3</v>
      </c>
      <c r="B4" s="2" t="s">
        <v>4</v>
      </c>
    </row>
    <row r="5" ht="34" spans="1:26">
      <c r="A5" s="17" t="s">
        <v>5</v>
      </c>
      <c r="B5" s="2" t="s">
        <v>6</v>
      </c>
    </row>
    <row r="6" ht="17" spans="1:26">
      <c r="A6" s="17" t="s">
        <v>7</v>
      </c>
      <c r="B6" s="2" t="s">
        <v>8</v>
      </c>
    </row>
    <row r="7" ht="34" spans="1:26">
      <c r="A7" s="17" t="s">
        <v>9</v>
      </c>
      <c r="B7" s="2" t="s">
        <v>10</v>
      </c>
    </row>
    <row r="8" ht="17" spans="1:26">
      <c r="A8" s="17" t="s">
        <v>11</v>
      </c>
      <c r="B8" s="2" t="s">
        <v>12</v>
      </c>
    </row>
    <row r="9" ht="17" spans="1:26">
      <c r="A9" s="17" t="s">
        <v>13</v>
      </c>
      <c r="B9" s="2" t="s">
        <v>14</v>
      </c>
    </row>
    <row r="10" ht="17" spans="1:26">
      <c r="A10" s="17" t="s">
        <v>15</v>
      </c>
      <c r="B10" s="2" t="s">
        <v>16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tabSelected="1" workbookViewId="0">
      <selection activeCell="B13" sqref="B13"/>
    </sheetView>
  </sheetViews>
  <sheetFormatPr defaultColWidth="9" defaultRowHeight="16.8"/>
  <cols>
    <col min="1" max="1" width="28" customWidth="1"/>
    <col min="2" max="2" width="20" customWidth="1"/>
    <col min="3" max="3" width="52" customWidth="1"/>
    <col min="4" max="4" width="18" customWidth="1"/>
    <col min="5" max="5" width="16" customWidth="1"/>
    <col min="6" max="6" width="18" customWidth="1"/>
    <col min="7" max="7" width="14" customWidth="1"/>
    <col min="8" max="8" width="12" customWidth="1"/>
  </cols>
  <sheetData>
    <row r="1" ht="26" customHeight="1" spans="1:26">
      <c r="A1" s="1" t="s">
        <v>17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ht="24" customHeight="1" spans="1:26">
      <c r="A3" s="3" t="s">
        <v>18</v>
      </c>
      <c r="B3" s="3" t="s">
        <v>19</v>
      </c>
      <c r="C3" s="3" t="s">
        <v>2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</row>
    <row r="4" ht="17" spans="1:26">
      <c r="A4" s="17" t="s">
        <v>25</v>
      </c>
      <c r="B4" s="5">
        <v>7000</v>
      </c>
      <c r="C4" s="29" t="s">
        <v>26</v>
      </c>
      <c r="D4" s="30" t="s">
        <v>27</v>
      </c>
      <c r="E4" s="30" t="s">
        <v>28</v>
      </c>
      <c r="F4" s="30" t="s">
        <v>29</v>
      </c>
      <c r="G4" s="30" t="s">
        <v>30</v>
      </c>
      <c r="H4" s="30" t="s">
        <v>31</v>
      </c>
    </row>
    <row r="5" ht="17" spans="1:26">
      <c r="A5" s="17" t="s">
        <v>32</v>
      </c>
      <c r="B5" s="5">
        <v>8500</v>
      </c>
      <c r="C5" s="29" t="s">
        <v>33</v>
      </c>
      <c r="D5" s="30" t="s">
        <v>34</v>
      </c>
      <c r="E5" s="30" t="s">
        <v>35</v>
      </c>
      <c r="F5" s="30" t="s">
        <v>36</v>
      </c>
      <c r="G5" s="30" t="s">
        <v>37</v>
      </c>
      <c r="H5" s="30" t="s">
        <v>38</v>
      </c>
    </row>
    <row r="6" ht="17" spans="1:26">
      <c r="A6" s="17" t="s">
        <v>39</v>
      </c>
      <c r="B6" s="5">
        <v>7000</v>
      </c>
      <c r="C6" s="29" t="s">
        <v>40</v>
      </c>
      <c r="D6" s="30" t="s">
        <v>41</v>
      </c>
      <c r="E6" s="30" t="s">
        <v>42</v>
      </c>
      <c r="F6" s="30" t="s">
        <v>43</v>
      </c>
      <c r="G6" s="30" t="s">
        <v>44</v>
      </c>
      <c r="H6" s="30" t="s">
        <v>45</v>
      </c>
    </row>
    <row r="7" ht="17" spans="1:26">
      <c r="A7" s="17" t="s">
        <v>46</v>
      </c>
      <c r="B7" s="10">
        <f>(B4+B5)/2</f>
        <v>7750</v>
      </c>
      <c r="C7" s="29" t="s">
        <v>47</v>
      </c>
      <c r="D7" s="30" t="s">
        <v>48</v>
      </c>
      <c r="E7" s="30" t="s">
        <v>49</v>
      </c>
      <c r="F7" s="30" t="s">
        <v>50</v>
      </c>
      <c r="G7" s="30" t="s">
        <v>51</v>
      </c>
      <c r="H7" s="30"/>
    </row>
    <row r="8" ht="17" spans="1:26">
      <c r="A8" s="17" t="s">
        <v>52</v>
      </c>
      <c r="B8" s="9">
        <v>0.5</v>
      </c>
      <c r="C8" s="29" t="s">
        <v>53</v>
      </c>
      <c r="D8" s="30" t="s">
        <v>54</v>
      </c>
      <c r="E8" s="30" t="s">
        <v>55</v>
      </c>
      <c r="F8" s="30" t="s">
        <v>56</v>
      </c>
      <c r="G8" s="30" t="s">
        <v>57</v>
      </c>
      <c r="H8" s="30"/>
    </row>
    <row r="9" ht="17" spans="1:26">
      <c r="A9" s="17" t="s">
        <v>58</v>
      </c>
      <c r="B9" s="9">
        <v>0.3</v>
      </c>
      <c r="C9" s="29" t="s">
        <v>53</v>
      </c>
      <c r="D9" s="30" t="s">
        <v>59</v>
      </c>
      <c r="E9" s="30" t="s">
        <v>60</v>
      </c>
      <c r="F9" s="30" t="s">
        <v>61</v>
      </c>
      <c r="G9" s="30" t="s">
        <v>62</v>
      </c>
      <c r="H9" s="30"/>
    </row>
    <row r="10" ht="17" spans="1:26">
      <c r="A10" s="17" t="s">
        <v>63</v>
      </c>
      <c r="B10" s="9">
        <v>0.2</v>
      </c>
      <c r="C10" s="29" t="s">
        <v>53</v>
      </c>
      <c r="D10" s="30" t="s">
        <v>64</v>
      </c>
      <c r="E10" s="30" t="s">
        <v>65</v>
      </c>
      <c r="F10" s="30" t="s">
        <v>66</v>
      </c>
      <c r="G10" s="30" t="s">
        <v>67</v>
      </c>
      <c r="H10" s="30"/>
    </row>
    <row r="11" ht="17" spans="1:26">
      <c r="A11" s="17" t="s">
        <v>68</v>
      </c>
      <c r="B11" s="4">
        <v>3</v>
      </c>
      <c r="C11" s="29" t="s">
        <v>69</v>
      </c>
      <c r="D11" s="30" t="s">
        <v>70</v>
      </c>
      <c r="E11" s="30"/>
      <c r="F11" s="30" t="s">
        <v>71</v>
      </c>
      <c r="G11" s="30"/>
      <c r="H11" s="30"/>
    </row>
    <row r="12" ht="17" spans="1:26">
      <c r="A12" s="17" t="s">
        <v>72</v>
      </c>
      <c r="B12" s="5">
        <v>4000</v>
      </c>
      <c r="C12" s="29" t="s">
        <v>73</v>
      </c>
      <c r="D12" s="30"/>
      <c r="E12" s="30"/>
      <c r="F12" s="30" t="s">
        <v>74</v>
      </c>
      <c r="G12" s="30"/>
      <c r="H12" s="30"/>
    </row>
    <row r="13" ht="17" spans="1:26">
      <c r="A13" s="17" t="s">
        <v>75</v>
      </c>
      <c r="B13" s="4">
        <v>2026</v>
      </c>
      <c r="C13" s="29" t="s">
        <v>76</v>
      </c>
      <c r="D13" s="30"/>
      <c r="E13" s="30"/>
      <c r="F13" s="30" t="s">
        <v>77</v>
      </c>
      <c r="G13" s="30"/>
      <c r="H13" s="30"/>
    </row>
    <row r="14" ht="17" spans="1:26">
      <c r="A14" s="17" t="s">
        <v>78</v>
      </c>
      <c r="B14" s="9">
        <v>0.7</v>
      </c>
      <c r="C14" s="29" t="s">
        <v>79</v>
      </c>
      <c r="D14" s="30"/>
      <c r="E14" s="30"/>
      <c r="F14" s="30" t="s">
        <v>80</v>
      </c>
      <c r="G14" s="30"/>
      <c r="H14" s="30"/>
    </row>
    <row r="15" ht="17" spans="1:26">
      <c r="A15" s="17" t="s">
        <v>81</v>
      </c>
      <c r="B15" s="9">
        <v>0.2</v>
      </c>
      <c r="C15" s="29" t="s">
        <v>82</v>
      </c>
      <c r="D15" s="30"/>
      <c r="E15" s="30"/>
      <c r="F15" s="30" t="s">
        <v>83</v>
      </c>
      <c r="G15" s="30"/>
      <c r="H15" s="30"/>
    </row>
    <row r="16" ht="17" spans="1:26">
      <c r="A16" s="17" t="s">
        <v>84</v>
      </c>
      <c r="B16" s="9">
        <v>0.1</v>
      </c>
      <c r="C16" s="29" t="s">
        <v>85</v>
      </c>
      <c r="D16" s="30"/>
      <c r="E16" s="30"/>
      <c r="F16" s="30" t="s">
        <v>86</v>
      </c>
      <c r="G16" s="30"/>
      <c r="H16" s="30"/>
    </row>
    <row r="17" ht="17" spans="1:8">
      <c r="A17" s="17" t="s">
        <v>87</v>
      </c>
      <c r="B17" s="4" t="s">
        <v>88</v>
      </c>
      <c r="C17" s="29" t="s">
        <v>89</v>
      </c>
      <c r="D17" s="30"/>
      <c r="E17" s="30"/>
      <c r="F17" s="30" t="s">
        <v>90</v>
      </c>
      <c r="G17" s="30"/>
      <c r="H17" s="30"/>
    </row>
    <row r="18" ht="17" spans="1:8">
      <c r="A18" s="17" t="s">
        <v>91</v>
      </c>
      <c r="B18" s="4" t="s">
        <v>92</v>
      </c>
      <c r="C18" s="29" t="s">
        <v>93</v>
      </c>
      <c r="D18" s="30"/>
      <c r="E18" s="30"/>
      <c r="F18" s="30" t="s">
        <v>94</v>
      </c>
      <c r="G18" s="30"/>
      <c r="H18" s="30"/>
    </row>
    <row r="19" ht="17" spans="1:8">
      <c r="A19" s="17" t="s">
        <v>95</v>
      </c>
      <c r="B19" s="7">
        <f>SUM(B8:B10)</f>
        <v>1</v>
      </c>
      <c r="C19" s="29" t="s">
        <v>96</v>
      </c>
      <c r="D19" s="30"/>
      <c r="E19" s="30"/>
      <c r="F19" s="30" t="s">
        <v>97</v>
      </c>
      <c r="G19" s="30"/>
      <c r="H19" s="30"/>
    </row>
    <row r="20" ht="17" spans="1:8">
      <c r="A20" s="17" t="s">
        <v>98</v>
      </c>
      <c r="B20" s="7">
        <f>SUM(B14:B16)</f>
        <v>1</v>
      </c>
      <c r="C20" s="29" t="s">
        <v>96</v>
      </c>
      <c r="D20" s="30"/>
      <c r="E20" s="30"/>
      <c r="F20" s="30" t="s">
        <v>99</v>
      </c>
      <c r="G20" s="30"/>
      <c r="H20" s="30"/>
    </row>
    <row r="21" ht="17" spans="1:8">
      <c r="A21" s="17" t="s">
        <v>100</v>
      </c>
      <c r="B21" s="7" t="str">
        <f>IF(AND(ABS(B19-1)&lt;0.0001,ABS(B20-1)&lt;0.0001,B4&lt;=B5),"通过","请检查比例或工资区间")</f>
        <v>通过</v>
      </c>
      <c r="C21" s="29" t="s">
        <v>101</v>
      </c>
      <c r="D21" s="30"/>
      <c r="E21" s="30"/>
      <c r="F21" s="30" t="s">
        <v>60</v>
      </c>
      <c r="G21" s="30"/>
      <c r="H21" s="30"/>
    </row>
    <row r="22" ht="17" spans="1:8">
      <c r="A22" s="17" t="s">
        <v>102</v>
      </c>
      <c r="B22" s="8" t="s">
        <v>103</v>
      </c>
      <c r="C22" s="29" t="s">
        <v>104</v>
      </c>
      <c r="D22" s="30"/>
      <c r="E22" s="30"/>
      <c r="F22" s="30" t="s">
        <v>105</v>
      </c>
      <c r="G22" s="30"/>
      <c r="H22" s="30"/>
    </row>
    <row r="23" ht="17" spans="1:8">
      <c r="A23" s="17"/>
      <c r="C23" s="29"/>
      <c r="D23" s="30"/>
      <c r="E23" s="30"/>
      <c r="F23" s="30" t="s">
        <v>106</v>
      </c>
      <c r="G23" s="30"/>
      <c r="H23" s="30"/>
    </row>
    <row r="24" ht="17" spans="1:8">
      <c r="D24" s="30"/>
      <c r="E24" s="30"/>
      <c r="F24" s="30" t="s">
        <v>107</v>
      </c>
      <c r="G24" s="30"/>
      <c r="H24" s="30"/>
    </row>
    <row r="25" ht="17" spans="1:8">
      <c r="D25" s="30"/>
      <c r="E25" s="30"/>
      <c r="F25" s="30" t="s">
        <v>108</v>
      </c>
      <c r="G25" s="30"/>
      <c r="H25" s="30"/>
    </row>
    <row r="26" ht="17" spans="1:8">
      <c r="D26" s="30"/>
      <c r="E26" s="30"/>
      <c r="F26" s="30" t="s">
        <v>70</v>
      </c>
      <c r="G26" s="30"/>
      <c r="H26" s="30"/>
    </row>
  </sheetData>
  <mergeCells count="1">
    <mergeCell ref="A1:H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03"/>
  <sheetViews>
    <sheetView workbookViewId="0">
      <selection activeCell="C6" sqref="C6"/>
    </sheetView>
  </sheetViews>
  <sheetFormatPr defaultColWidth="9" defaultRowHeight="16.8"/>
  <cols>
    <col min="1" max="1" width="13" customWidth="1"/>
    <col min="2" max="2" width="11" customWidth="1"/>
    <col min="3" max="3" width="18" customWidth="1"/>
    <col min="4" max="4" width="14" customWidth="1"/>
    <col min="5" max="5" width="16" customWidth="1"/>
    <col min="6" max="6" width="20" customWidth="1"/>
    <col min="7" max="7" width="12" customWidth="1"/>
    <col min="8" max="8" width="18" customWidth="1"/>
    <col min="9" max="9" width="14" customWidth="1"/>
    <col min="10" max="10" width="28" customWidth="1"/>
  </cols>
  <sheetData>
    <row r="1" ht="26" customHeight="1" spans="1:26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ht="39.6" customHeight="1" spans="1:26">
      <c r="A3" s="3" t="s">
        <v>110</v>
      </c>
      <c r="B3" s="3" t="s">
        <v>111</v>
      </c>
      <c r="C3" s="3" t="s">
        <v>20</v>
      </c>
      <c r="D3" s="3" t="s">
        <v>21</v>
      </c>
      <c r="E3" s="3" t="s">
        <v>22</v>
      </c>
      <c r="F3" s="3" t="s">
        <v>112</v>
      </c>
      <c r="G3" s="3" t="s">
        <v>113</v>
      </c>
      <c r="H3" s="3" t="s">
        <v>2</v>
      </c>
      <c r="I3" s="3" t="s">
        <v>114</v>
      </c>
      <c r="J3" s="3" t="s">
        <v>115</v>
      </c>
    </row>
    <row r="4" ht="52.8" customHeight="1" spans="1:26">
      <c r="A4" s="6">
        <v>46023</v>
      </c>
      <c r="B4" s="18">
        <f t="shared" ref="B4:B67" si="0">IF(A4="","",DATE(YEAR(A4),MONTH(A4),1))</f>
        <v>46023</v>
      </c>
      <c r="C4" s="2" t="s">
        <v>27</v>
      </c>
      <c r="D4" s="2" t="s">
        <v>28</v>
      </c>
      <c r="E4" s="2" t="s">
        <v>29</v>
      </c>
      <c r="F4" s="2" t="s">
        <v>116</v>
      </c>
      <c r="G4" s="2" t="s">
        <v>117</v>
      </c>
      <c r="H4" s="2" t="s">
        <v>118</v>
      </c>
      <c r="I4" s="28">
        <v>7800</v>
      </c>
      <c r="J4" s="2" t="s">
        <v>119</v>
      </c>
    </row>
    <row r="5" ht="26.4" customHeight="1" spans="1:26">
      <c r="A5" s="6">
        <v>46032</v>
      </c>
      <c r="B5" s="18">
        <f t="shared" si="0"/>
        <v>46023</v>
      </c>
      <c r="C5" s="2" t="s">
        <v>27</v>
      </c>
      <c r="D5" s="2" t="s">
        <v>28</v>
      </c>
      <c r="E5" s="2" t="s">
        <v>43</v>
      </c>
      <c r="F5" s="2" t="s">
        <v>120</v>
      </c>
      <c r="G5" s="2" t="s">
        <v>121</v>
      </c>
      <c r="H5" s="2" t="s">
        <v>43</v>
      </c>
      <c r="I5" s="28">
        <v>800</v>
      </c>
      <c r="J5" s="2" t="s">
        <v>122</v>
      </c>
    </row>
    <row r="6" ht="26.4" customHeight="1" spans="1:26">
      <c r="A6" s="6">
        <v>46047</v>
      </c>
      <c r="B6" s="18">
        <f t="shared" si="0"/>
        <v>46023</v>
      </c>
      <c r="C6" s="2" t="s">
        <v>27</v>
      </c>
      <c r="D6" s="2" t="s">
        <v>28</v>
      </c>
      <c r="E6" s="2" t="s">
        <v>36</v>
      </c>
      <c r="F6" s="2" t="s">
        <v>123</v>
      </c>
      <c r="G6" s="2" t="s">
        <v>121</v>
      </c>
      <c r="H6" s="2" t="s">
        <v>124</v>
      </c>
      <c r="I6" s="28">
        <v>500</v>
      </c>
      <c r="J6" s="2" t="s">
        <v>125</v>
      </c>
    </row>
    <row r="7" ht="26.4" customHeight="1" spans="1:26">
      <c r="A7" s="6">
        <v>46024</v>
      </c>
      <c r="B7" s="18">
        <f t="shared" si="0"/>
        <v>46023</v>
      </c>
      <c r="C7" s="2" t="s">
        <v>34</v>
      </c>
      <c r="D7" s="2" t="s">
        <v>35</v>
      </c>
      <c r="E7" s="2" t="s">
        <v>71</v>
      </c>
      <c r="F7" s="2" t="s">
        <v>126</v>
      </c>
      <c r="G7" s="2" t="s">
        <v>127</v>
      </c>
      <c r="H7" s="2" t="s">
        <v>128</v>
      </c>
      <c r="I7" s="28">
        <v>2500</v>
      </c>
      <c r="J7" s="2" t="s">
        <v>129</v>
      </c>
    </row>
    <row r="8" ht="15" customHeight="1" spans="1:26">
      <c r="A8" s="6">
        <v>46028</v>
      </c>
      <c r="B8" s="18">
        <f t="shared" si="0"/>
        <v>46023</v>
      </c>
      <c r="C8" s="2" t="s">
        <v>34</v>
      </c>
      <c r="D8" s="2" t="s">
        <v>35</v>
      </c>
      <c r="E8" s="2" t="s">
        <v>74</v>
      </c>
      <c r="F8" s="2" t="s">
        <v>130</v>
      </c>
      <c r="G8" s="2" t="s">
        <v>117</v>
      </c>
      <c r="H8" s="2" t="s">
        <v>74</v>
      </c>
      <c r="I8" s="28">
        <v>900</v>
      </c>
      <c r="J8" s="2" t="s">
        <v>129</v>
      </c>
    </row>
    <row r="9" ht="15" customHeight="1" spans="1:26">
      <c r="A9" s="6">
        <v>46030</v>
      </c>
      <c r="B9" s="18">
        <f t="shared" si="0"/>
        <v>46023</v>
      </c>
      <c r="C9" s="2" t="s">
        <v>34</v>
      </c>
      <c r="D9" s="2" t="s">
        <v>35</v>
      </c>
      <c r="E9" s="2" t="s">
        <v>77</v>
      </c>
      <c r="F9" s="2" t="s">
        <v>131</v>
      </c>
      <c r="G9" s="2" t="s">
        <v>117</v>
      </c>
      <c r="H9" s="2" t="s">
        <v>77</v>
      </c>
      <c r="I9" s="28">
        <v>250</v>
      </c>
      <c r="J9" s="2" t="s">
        <v>129</v>
      </c>
    </row>
    <row r="10" ht="26.4" customHeight="1" spans="1:26">
      <c r="A10" s="6">
        <v>46031</v>
      </c>
      <c r="B10" s="18">
        <f t="shared" si="0"/>
        <v>46023</v>
      </c>
      <c r="C10" s="2" t="s">
        <v>34</v>
      </c>
      <c r="D10" s="2" t="s">
        <v>35</v>
      </c>
      <c r="E10" s="2" t="s">
        <v>80</v>
      </c>
      <c r="F10" s="2" t="s">
        <v>132</v>
      </c>
      <c r="G10" s="2" t="s">
        <v>127</v>
      </c>
      <c r="H10" s="2" t="s">
        <v>80</v>
      </c>
      <c r="I10" s="28">
        <v>250</v>
      </c>
      <c r="J10" s="2" t="s">
        <v>129</v>
      </c>
    </row>
    <row r="11" ht="26.4" customHeight="1" spans="1:26">
      <c r="A11" s="6">
        <v>46034</v>
      </c>
      <c r="B11" s="18">
        <f t="shared" si="0"/>
        <v>46023</v>
      </c>
      <c r="C11" s="2" t="s">
        <v>41</v>
      </c>
      <c r="D11" s="2" t="s">
        <v>42</v>
      </c>
      <c r="E11" s="2" t="s">
        <v>86</v>
      </c>
      <c r="F11" s="2" t="s">
        <v>133</v>
      </c>
      <c r="G11" s="2" t="s">
        <v>127</v>
      </c>
      <c r="H11" s="2" t="s">
        <v>134</v>
      </c>
      <c r="I11" s="28">
        <v>1200</v>
      </c>
      <c r="J11" s="2" t="s">
        <v>129</v>
      </c>
    </row>
    <row r="12" ht="15" customHeight="1" spans="1:26">
      <c r="A12" s="6">
        <v>46035</v>
      </c>
      <c r="B12" s="18">
        <f t="shared" si="0"/>
        <v>46023</v>
      </c>
      <c r="C12" s="2" t="s">
        <v>48</v>
      </c>
      <c r="D12" s="2" t="s">
        <v>42</v>
      </c>
      <c r="E12" s="2" t="s">
        <v>90</v>
      </c>
      <c r="F12" s="2" t="s">
        <v>135</v>
      </c>
      <c r="G12" s="2" t="s">
        <v>127</v>
      </c>
      <c r="H12" s="2" t="s">
        <v>90</v>
      </c>
      <c r="I12" s="28">
        <v>1500</v>
      </c>
      <c r="J12" s="2" t="s">
        <v>129</v>
      </c>
    </row>
    <row r="13" ht="26.4" customHeight="1" spans="1:26">
      <c r="A13" s="6">
        <v>46040</v>
      </c>
      <c r="B13" s="18">
        <f t="shared" si="0"/>
        <v>46023</v>
      </c>
      <c r="C13" s="2" t="s">
        <v>59</v>
      </c>
      <c r="D13" s="2" t="s">
        <v>55</v>
      </c>
      <c r="E13" s="2" t="s">
        <v>99</v>
      </c>
      <c r="F13" s="2" t="s">
        <v>99</v>
      </c>
      <c r="G13" s="2" t="s">
        <v>127</v>
      </c>
      <c r="H13" s="2" t="s">
        <v>136</v>
      </c>
      <c r="I13" s="28">
        <v>900</v>
      </c>
      <c r="J13" s="2" t="s">
        <v>129</v>
      </c>
    </row>
    <row r="14" ht="26.4" customHeight="1" spans="1:26">
      <c r="A14" s="6">
        <v>46042</v>
      </c>
      <c r="B14" s="18">
        <f t="shared" si="0"/>
        <v>46023</v>
      </c>
      <c r="C14" s="2" t="s">
        <v>64</v>
      </c>
      <c r="D14" s="2" t="s">
        <v>60</v>
      </c>
      <c r="E14" s="2" t="s">
        <v>60</v>
      </c>
      <c r="F14" s="2" t="s">
        <v>137</v>
      </c>
      <c r="G14" s="2" t="s">
        <v>127</v>
      </c>
      <c r="H14" s="2" t="s">
        <v>138</v>
      </c>
      <c r="I14" s="28">
        <v>400</v>
      </c>
      <c r="J14" s="2" t="s">
        <v>129</v>
      </c>
    </row>
    <row r="15" ht="26.4" customHeight="1" spans="1:26">
      <c r="A15" s="6">
        <v>46044</v>
      </c>
      <c r="B15" s="18">
        <f t="shared" si="0"/>
        <v>46023</v>
      </c>
      <c r="C15" s="2" t="s">
        <v>54</v>
      </c>
      <c r="D15" s="2" t="s">
        <v>49</v>
      </c>
      <c r="E15" s="2" t="s">
        <v>105</v>
      </c>
      <c r="F15" s="2" t="s">
        <v>139</v>
      </c>
      <c r="G15" s="2" t="s">
        <v>117</v>
      </c>
      <c r="H15" s="2" t="s">
        <v>140</v>
      </c>
      <c r="I15" s="28">
        <v>600</v>
      </c>
      <c r="J15" s="2" t="s">
        <v>129</v>
      </c>
    </row>
    <row r="16" ht="26.4" customHeight="1" spans="1:26">
      <c r="A16" s="6">
        <v>46048</v>
      </c>
      <c r="B16" s="18">
        <f t="shared" si="0"/>
        <v>46023</v>
      </c>
      <c r="C16" s="2" t="s">
        <v>54</v>
      </c>
      <c r="D16" s="2" t="s">
        <v>49</v>
      </c>
      <c r="E16" s="2" t="s">
        <v>106</v>
      </c>
      <c r="F16" s="2" t="s">
        <v>141</v>
      </c>
      <c r="G16" s="2" t="s">
        <v>117</v>
      </c>
      <c r="H16" s="2" t="s">
        <v>106</v>
      </c>
      <c r="I16" s="28">
        <v>400</v>
      </c>
      <c r="J16" s="2" t="s">
        <v>129</v>
      </c>
    </row>
    <row r="17" ht="15" customHeight="1" spans="1:10">
      <c r="A17" s="6"/>
      <c r="B17" s="18" t="str">
        <f t="shared" si="0"/>
        <v/>
      </c>
      <c r="C17" s="2"/>
      <c r="D17" s="2"/>
      <c r="E17" s="2"/>
      <c r="F17" s="2"/>
      <c r="G17" s="2"/>
      <c r="H17" s="2"/>
      <c r="I17" s="28"/>
      <c r="J17" s="2"/>
    </row>
    <row r="18" ht="15" customHeight="1" spans="1:10">
      <c r="A18" s="6"/>
      <c r="B18" s="18" t="str">
        <f t="shared" si="0"/>
        <v/>
      </c>
      <c r="C18" s="2"/>
      <c r="D18" s="2"/>
      <c r="E18" s="2"/>
      <c r="F18" s="2"/>
      <c r="G18" s="2"/>
      <c r="H18" s="2"/>
      <c r="I18" s="28"/>
      <c r="J18" s="2"/>
    </row>
    <row r="19" ht="15" customHeight="1" spans="1:10">
      <c r="A19" s="6"/>
      <c r="B19" s="18" t="str">
        <f t="shared" si="0"/>
        <v/>
      </c>
      <c r="C19" s="2"/>
      <c r="D19" s="2"/>
      <c r="E19" s="2"/>
      <c r="F19" s="2"/>
      <c r="G19" s="2"/>
      <c r="H19" s="2"/>
      <c r="I19" s="28"/>
      <c r="J19" s="2"/>
    </row>
    <row r="20" ht="15" customHeight="1" spans="1:10">
      <c r="A20" s="6"/>
      <c r="B20" s="18" t="str">
        <f t="shared" si="0"/>
        <v/>
      </c>
      <c r="C20" s="2"/>
      <c r="D20" s="2"/>
      <c r="E20" s="2"/>
      <c r="F20" s="2"/>
      <c r="G20" s="2"/>
      <c r="H20" s="2"/>
      <c r="I20" s="28"/>
      <c r="J20" s="2"/>
    </row>
    <row r="21" ht="15" customHeight="1" spans="1:10">
      <c r="A21" s="6"/>
      <c r="B21" s="18" t="str">
        <f t="shared" si="0"/>
        <v/>
      </c>
      <c r="C21" s="2"/>
      <c r="D21" s="2"/>
      <c r="E21" s="2"/>
      <c r="F21" s="2"/>
      <c r="G21" s="2"/>
      <c r="H21" s="2"/>
      <c r="I21" s="28"/>
      <c r="J21" s="2"/>
    </row>
    <row r="22" ht="15" customHeight="1" spans="1:10">
      <c r="A22" s="6"/>
      <c r="B22" s="18" t="str">
        <f t="shared" si="0"/>
        <v/>
      </c>
      <c r="C22" s="2"/>
      <c r="D22" s="2"/>
      <c r="E22" s="2"/>
      <c r="F22" s="2"/>
      <c r="G22" s="2"/>
      <c r="H22" s="2"/>
      <c r="I22" s="28"/>
      <c r="J22" s="2"/>
    </row>
    <row r="23" ht="15" customHeight="1" spans="1:10">
      <c r="A23" s="6"/>
      <c r="B23" s="18" t="str">
        <f t="shared" si="0"/>
        <v/>
      </c>
      <c r="C23" s="2"/>
      <c r="D23" s="2"/>
      <c r="E23" s="2"/>
      <c r="F23" s="2"/>
      <c r="G23" s="2"/>
      <c r="H23" s="2"/>
      <c r="I23" s="28"/>
      <c r="J23" s="2"/>
    </row>
    <row r="24" ht="15" customHeight="1" spans="1:10">
      <c r="A24" s="6"/>
      <c r="B24" s="18" t="str">
        <f t="shared" si="0"/>
        <v/>
      </c>
      <c r="C24" s="2"/>
      <c r="D24" s="2"/>
      <c r="E24" s="2"/>
      <c r="F24" s="2"/>
      <c r="G24" s="2"/>
      <c r="H24" s="2"/>
      <c r="I24" s="28"/>
      <c r="J24" s="2"/>
    </row>
    <row r="25" ht="15" customHeight="1" spans="1:10">
      <c r="A25" s="6"/>
      <c r="B25" s="18" t="str">
        <f t="shared" si="0"/>
        <v/>
      </c>
      <c r="C25" s="2"/>
      <c r="D25" s="2"/>
      <c r="E25" s="2"/>
      <c r="F25" s="2"/>
      <c r="G25" s="2"/>
      <c r="H25" s="2"/>
      <c r="I25" s="28"/>
      <c r="J25" s="2"/>
    </row>
    <row r="26" ht="15" customHeight="1" spans="1:10">
      <c r="A26" s="6"/>
      <c r="B26" s="18" t="str">
        <f t="shared" si="0"/>
        <v/>
      </c>
      <c r="C26" s="2"/>
      <c r="D26" s="2"/>
      <c r="E26" s="2"/>
      <c r="F26" s="2"/>
      <c r="G26" s="2"/>
      <c r="H26" s="2"/>
      <c r="I26" s="28"/>
      <c r="J26" s="2"/>
    </row>
    <row r="27" ht="15" customHeight="1" spans="1:10">
      <c r="A27" s="6"/>
      <c r="B27" s="18" t="str">
        <f t="shared" si="0"/>
        <v/>
      </c>
      <c r="C27" s="2"/>
      <c r="D27" s="2"/>
      <c r="E27" s="2"/>
      <c r="F27" s="2"/>
      <c r="G27" s="2"/>
      <c r="H27" s="2"/>
      <c r="I27" s="28"/>
      <c r="J27" s="2"/>
    </row>
    <row r="28" ht="15" customHeight="1" spans="1:10">
      <c r="A28" s="6"/>
      <c r="B28" s="18" t="str">
        <f t="shared" si="0"/>
        <v/>
      </c>
      <c r="C28" s="2"/>
      <c r="D28" s="2"/>
      <c r="E28" s="2"/>
      <c r="F28" s="2"/>
      <c r="G28" s="2"/>
      <c r="H28" s="2"/>
      <c r="I28" s="28"/>
      <c r="J28" s="2"/>
    </row>
    <row r="29" ht="15" customHeight="1" spans="1:10">
      <c r="A29" s="6"/>
      <c r="B29" s="18" t="str">
        <f t="shared" si="0"/>
        <v/>
      </c>
      <c r="C29" s="2"/>
      <c r="D29" s="2"/>
      <c r="E29" s="2"/>
      <c r="F29" s="2"/>
      <c r="G29" s="2"/>
      <c r="H29" s="2"/>
      <c r="I29" s="28"/>
      <c r="J29" s="2"/>
    </row>
    <row r="30" ht="15" customHeight="1" spans="1:10">
      <c r="A30" s="6"/>
      <c r="B30" s="18" t="str">
        <f t="shared" si="0"/>
        <v/>
      </c>
      <c r="C30" s="2"/>
      <c r="D30" s="2"/>
      <c r="E30" s="2"/>
      <c r="F30" s="2"/>
      <c r="G30" s="2"/>
      <c r="H30" s="2"/>
      <c r="I30" s="28"/>
      <c r="J30" s="2"/>
    </row>
    <row r="31" ht="15" customHeight="1" spans="1:10">
      <c r="A31" s="6"/>
      <c r="B31" s="18" t="str">
        <f t="shared" si="0"/>
        <v/>
      </c>
      <c r="C31" s="2"/>
      <c r="D31" s="2"/>
      <c r="E31" s="2"/>
      <c r="F31" s="2"/>
      <c r="G31" s="2"/>
      <c r="H31" s="2"/>
      <c r="I31" s="28"/>
      <c r="J31" s="2"/>
    </row>
    <row r="32" ht="15" customHeight="1" spans="1:10">
      <c r="A32" s="6"/>
      <c r="B32" s="18" t="str">
        <f t="shared" si="0"/>
        <v/>
      </c>
      <c r="C32" s="2"/>
      <c r="D32" s="2"/>
      <c r="E32" s="2"/>
      <c r="F32" s="2"/>
      <c r="G32" s="2"/>
      <c r="H32" s="2"/>
      <c r="I32" s="28"/>
      <c r="J32" s="2"/>
    </row>
    <row r="33" ht="15" customHeight="1" spans="1:10">
      <c r="A33" s="6"/>
      <c r="B33" s="18" t="str">
        <f t="shared" si="0"/>
        <v/>
      </c>
      <c r="C33" s="2"/>
      <c r="D33" s="2"/>
      <c r="E33" s="2"/>
      <c r="F33" s="2"/>
      <c r="G33" s="2"/>
      <c r="H33" s="2"/>
      <c r="I33" s="28"/>
      <c r="J33" s="2"/>
    </row>
    <row r="34" ht="15" customHeight="1" spans="1:10">
      <c r="A34" s="6"/>
      <c r="B34" s="18" t="str">
        <f t="shared" si="0"/>
        <v/>
      </c>
      <c r="C34" s="2"/>
      <c r="D34" s="2"/>
      <c r="E34" s="2"/>
      <c r="F34" s="2"/>
      <c r="G34" s="2"/>
      <c r="H34" s="2"/>
      <c r="I34" s="28"/>
      <c r="J34" s="2"/>
    </row>
    <row r="35" ht="15" customHeight="1" spans="1:10">
      <c r="A35" s="6"/>
      <c r="B35" s="18" t="str">
        <f t="shared" si="0"/>
        <v/>
      </c>
      <c r="C35" s="2"/>
      <c r="D35" s="2"/>
      <c r="E35" s="2"/>
      <c r="F35" s="2"/>
      <c r="G35" s="2"/>
      <c r="H35" s="2"/>
      <c r="I35" s="28"/>
      <c r="J35" s="2"/>
    </row>
    <row r="36" ht="15" customHeight="1" spans="1:10">
      <c r="A36" s="6"/>
      <c r="B36" s="18" t="str">
        <f t="shared" si="0"/>
        <v/>
      </c>
      <c r="C36" s="2"/>
      <c r="D36" s="2"/>
      <c r="E36" s="2"/>
      <c r="F36" s="2"/>
      <c r="G36" s="2"/>
      <c r="H36" s="2"/>
      <c r="I36" s="28"/>
      <c r="J36" s="2"/>
    </row>
    <row r="37" ht="15" customHeight="1" spans="1:10">
      <c r="A37" s="6"/>
      <c r="B37" s="18" t="str">
        <f t="shared" si="0"/>
        <v/>
      </c>
      <c r="C37" s="2"/>
      <c r="D37" s="2"/>
      <c r="E37" s="2"/>
      <c r="F37" s="2"/>
      <c r="G37" s="2"/>
      <c r="H37" s="2"/>
      <c r="I37" s="28"/>
      <c r="J37" s="2"/>
    </row>
    <row r="38" ht="15" customHeight="1" spans="1:10">
      <c r="A38" s="6"/>
      <c r="B38" s="18" t="str">
        <f t="shared" si="0"/>
        <v/>
      </c>
      <c r="C38" s="2"/>
      <c r="D38" s="2"/>
      <c r="E38" s="2"/>
      <c r="F38" s="2"/>
      <c r="G38" s="2"/>
      <c r="H38" s="2"/>
      <c r="I38" s="28"/>
      <c r="J38" s="2"/>
    </row>
    <row r="39" ht="15" customHeight="1" spans="1:10">
      <c r="A39" s="6"/>
      <c r="B39" s="18" t="str">
        <f t="shared" si="0"/>
        <v/>
      </c>
      <c r="C39" s="2"/>
      <c r="D39" s="2"/>
      <c r="E39" s="2"/>
      <c r="F39" s="2"/>
      <c r="G39" s="2"/>
      <c r="H39" s="2"/>
      <c r="I39" s="28"/>
      <c r="J39" s="2"/>
    </row>
    <row r="40" ht="15" customHeight="1" spans="1:10">
      <c r="A40" s="6"/>
      <c r="B40" s="18" t="str">
        <f t="shared" si="0"/>
        <v/>
      </c>
      <c r="C40" s="2"/>
      <c r="D40" s="2"/>
      <c r="E40" s="2"/>
      <c r="F40" s="2"/>
      <c r="G40" s="2"/>
      <c r="H40" s="2"/>
      <c r="I40" s="28"/>
      <c r="J40" s="2"/>
    </row>
    <row r="41" ht="15" customHeight="1" spans="1:10">
      <c r="A41" s="6"/>
      <c r="B41" s="18" t="str">
        <f t="shared" si="0"/>
        <v/>
      </c>
      <c r="C41" s="2"/>
      <c r="D41" s="2"/>
      <c r="E41" s="2"/>
      <c r="F41" s="2"/>
      <c r="G41" s="2"/>
      <c r="H41" s="2"/>
      <c r="I41" s="28"/>
      <c r="J41" s="2"/>
    </row>
    <row r="42" ht="15" customHeight="1" spans="1:10">
      <c r="A42" s="6"/>
      <c r="B42" s="18" t="str">
        <f t="shared" si="0"/>
        <v/>
      </c>
      <c r="C42" s="2"/>
      <c r="D42" s="2"/>
      <c r="E42" s="2"/>
      <c r="F42" s="2"/>
      <c r="G42" s="2"/>
      <c r="H42" s="2"/>
      <c r="I42" s="28"/>
      <c r="J42" s="2"/>
    </row>
    <row r="43" ht="15" customHeight="1" spans="1:10">
      <c r="A43" s="6"/>
      <c r="B43" s="18" t="str">
        <f t="shared" si="0"/>
        <v/>
      </c>
      <c r="C43" s="2"/>
      <c r="D43" s="2"/>
      <c r="E43" s="2"/>
      <c r="F43" s="2"/>
      <c r="G43" s="2"/>
      <c r="H43" s="2"/>
      <c r="I43" s="28"/>
      <c r="J43" s="2"/>
    </row>
    <row r="44" ht="15" customHeight="1" spans="1:10">
      <c r="A44" s="6"/>
      <c r="B44" s="18" t="str">
        <f t="shared" si="0"/>
        <v/>
      </c>
      <c r="C44" s="2"/>
      <c r="D44" s="2"/>
      <c r="E44" s="2"/>
      <c r="F44" s="2"/>
      <c r="G44" s="2"/>
      <c r="H44" s="2"/>
      <c r="I44" s="28"/>
      <c r="J44" s="2"/>
    </row>
    <row r="45" ht="15" customHeight="1" spans="1:10">
      <c r="A45" s="6"/>
      <c r="B45" s="18" t="str">
        <f t="shared" si="0"/>
        <v/>
      </c>
      <c r="C45" s="2"/>
      <c r="D45" s="2"/>
      <c r="E45" s="2"/>
      <c r="F45" s="2"/>
      <c r="G45" s="2"/>
      <c r="H45" s="2"/>
      <c r="I45" s="28"/>
      <c r="J45" s="2"/>
    </row>
    <row r="46" ht="15" customHeight="1" spans="1:10">
      <c r="A46" s="6"/>
      <c r="B46" s="18" t="str">
        <f t="shared" si="0"/>
        <v/>
      </c>
      <c r="C46" s="2"/>
      <c r="D46" s="2"/>
      <c r="E46" s="2"/>
      <c r="F46" s="2"/>
      <c r="G46" s="2"/>
      <c r="H46" s="2"/>
      <c r="I46" s="28"/>
      <c r="J46" s="2"/>
    </row>
    <row r="47" ht="15" customHeight="1" spans="1:10">
      <c r="A47" s="6"/>
      <c r="B47" s="18" t="str">
        <f t="shared" si="0"/>
        <v/>
      </c>
      <c r="C47" s="2"/>
      <c r="D47" s="2"/>
      <c r="E47" s="2"/>
      <c r="F47" s="2"/>
      <c r="G47" s="2"/>
      <c r="H47" s="2"/>
      <c r="I47" s="28"/>
      <c r="J47" s="2"/>
    </row>
    <row r="48" ht="15" customHeight="1" spans="1:10">
      <c r="A48" s="6"/>
      <c r="B48" s="18" t="str">
        <f t="shared" si="0"/>
        <v/>
      </c>
      <c r="C48" s="2"/>
      <c r="D48" s="2"/>
      <c r="E48" s="2"/>
      <c r="F48" s="2"/>
      <c r="G48" s="2"/>
      <c r="H48" s="2"/>
      <c r="I48" s="28"/>
      <c r="J48" s="2"/>
    </row>
    <row r="49" ht="15" customHeight="1" spans="1:10">
      <c r="A49" s="6"/>
      <c r="B49" s="18" t="str">
        <f t="shared" si="0"/>
        <v/>
      </c>
      <c r="C49" s="2"/>
      <c r="D49" s="2"/>
      <c r="E49" s="2"/>
      <c r="F49" s="2"/>
      <c r="G49" s="2"/>
      <c r="H49" s="2"/>
      <c r="I49" s="28"/>
      <c r="J49" s="2"/>
    </row>
    <row r="50" ht="15" customHeight="1" spans="1:10">
      <c r="A50" s="6"/>
      <c r="B50" s="18" t="str">
        <f t="shared" si="0"/>
        <v/>
      </c>
      <c r="C50" s="2"/>
      <c r="D50" s="2"/>
      <c r="E50" s="2"/>
      <c r="F50" s="2"/>
      <c r="G50" s="2"/>
      <c r="H50" s="2"/>
      <c r="I50" s="28"/>
      <c r="J50" s="2"/>
    </row>
    <row r="51" ht="15" customHeight="1" spans="1:10">
      <c r="A51" s="6"/>
      <c r="B51" s="18" t="str">
        <f t="shared" si="0"/>
        <v/>
      </c>
      <c r="C51" s="2"/>
      <c r="D51" s="2"/>
      <c r="E51" s="2"/>
      <c r="F51" s="2"/>
      <c r="G51" s="2"/>
      <c r="H51" s="2"/>
      <c r="I51" s="28"/>
      <c r="J51" s="2"/>
    </row>
    <row r="52" ht="15" customHeight="1" spans="1:10">
      <c r="A52" s="6"/>
      <c r="B52" s="18" t="str">
        <f t="shared" si="0"/>
        <v/>
      </c>
      <c r="C52" s="2"/>
      <c r="D52" s="2"/>
      <c r="E52" s="2"/>
      <c r="F52" s="2"/>
      <c r="G52" s="2"/>
      <c r="H52" s="2"/>
      <c r="I52" s="28"/>
      <c r="J52" s="2"/>
    </row>
    <row r="53" ht="15" customHeight="1" spans="1:10">
      <c r="A53" s="6"/>
      <c r="B53" s="18" t="str">
        <f t="shared" si="0"/>
        <v/>
      </c>
      <c r="C53" s="2"/>
      <c r="D53" s="2"/>
      <c r="E53" s="2"/>
      <c r="F53" s="2"/>
      <c r="G53" s="2"/>
      <c r="H53" s="2"/>
      <c r="I53" s="28"/>
      <c r="J53" s="2"/>
    </row>
    <row r="54" ht="15" customHeight="1" spans="1:10">
      <c r="A54" s="6"/>
      <c r="B54" s="18" t="str">
        <f t="shared" si="0"/>
        <v/>
      </c>
      <c r="C54" s="2"/>
      <c r="D54" s="2"/>
      <c r="E54" s="2"/>
      <c r="F54" s="2"/>
      <c r="G54" s="2"/>
      <c r="H54" s="2"/>
      <c r="I54" s="28"/>
      <c r="J54" s="2"/>
    </row>
    <row r="55" ht="15" customHeight="1" spans="1:10">
      <c r="A55" s="6"/>
      <c r="B55" s="18" t="str">
        <f t="shared" si="0"/>
        <v/>
      </c>
      <c r="C55" s="2"/>
      <c r="D55" s="2"/>
      <c r="E55" s="2"/>
      <c r="F55" s="2"/>
      <c r="G55" s="2"/>
      <c r="H55" s="2"/>
      <c r="I55" s="28"/>
      <c r="J55" s="2"/>
    </row>
    <row r="56" ht="15" customHeight="1" spans="1:10">
      <c r="A56" s="6"/>
      <c r="B56" s="18" t="str">
        <f t="shared" si="0"/>
        <v/>
      </c>
      <c r="C56" s="2"/>
      <c r="D56" s="2"/>
      <c r="E56" s="2"/>
      <c r="F56" s="2"/>
      <c r="G56" s="2"/>
      <c r="H56" s="2"/>
      <c r="I56" s="28"/>
      <c r="J56" s="2"/>
    </row>
    <row r="57" ht="15" customHeight="1" spans="1:10">
      <c r="A57" s="6"/>
      <c r="B57" s="18" t="str">
        <f t="shared" si="0"/>
        <v/>
      </c>
      <c r="C57" s="2"/>
      <c r="D57" s="2"/>
      <c r="E57" s="2"/>
      <c r="F57" s="2"/>
      <c r="G57" s="2"/>
      <c r="H57" s="2"/>
      <c r="I57" s="28"/>
      <c r="J57" s="2"/>
    </row>
    <row r="58" ht="15" customHeight="1" spans="1:10">
      <c r="A58" s="6"/>
      <c r="B58" s="18" t="str">
        <f t="shared" si="0"/>
        <v/>
      </c>
      <c r="C58" s="2"/>
      <c r="D58" s="2"/>
      <c r="E58" s="2"/>
      <c r="F58" s="2"/>
      <c r="G58" s="2"/>
      <c r="H58" s="2"/>
      <c r="I58" s="28"/>
      <c r="J58" s="2"/>
    </row>
    <row r="59" ht="15" customHeight="1" spans="1:10">
      <c r="A59" s="6"/>
      <c r="B59" s="18" t="str">
        <f t="shared" si="0"/>
        <v/>
      </c>
      <c r="C59" s="2"/>
      <c r="D59" s="2"/>
      <c r="E59" s="2"/>
      <c r="F59" s="2"/>
      <c r="G59" s="2"/>
      <c r="H59" s="2"/>
      <c r="I59" s="28"/>
      <c r="J59" s="2"/>
    </row>
    <row r="60" ht="15" customHeight="1" spans="1:10">
      <c r="A60" s="6"/>
      <c r="B60" s="18" t="str">
        <f t="shared" si="0"/>
        <v/>
      </c>
      <c r="C60" s="2"/>
      <c r="D60" s="2"/>
      <c r="E60" s="2"/>
      <c r="F60" s="2"/>
      <c r="G60" s="2"/>
      <c r="H60" s="2"/>
      <c r="I60" s="28"/>
      <c r="J60" s="2"/>
    </row>
    <row r="61" ht="15" customHeight="1" spans="1:10">
      <c r="A61" s="6"/>
      <c r="B61" s="18" t="str">
        <f t="shared" si="0"/>
        <v/>
      </c>
      <c r="C61" s="2"/>
      <c r="D61" s="2"/>
      <c r="E61" s="2"/>
      <c r="F61" s="2"/>
      <c r="G61" s="2"/>
      <c r="H61" s="2"/>
      <c r="I61" s="28"/>
      <c r="J61" s="2"/>
    </row>
    <row r="62" ht="15" customHeight="1" spans="1:10">
      <c r="A62" s="6"/>
      <c r="B62" s="18" t="str">
        <f t="shared" si="0"/>
        <v/>
      </c>
      <c r="C62" s="2"/>
      <c r="D62" s="2"/>
      <c r="E62" s="2"/>
      <c r="F62" s="2"/>
      <c r="G62" s="2"/>
      <c r="H62" s="2"/>
      <c r="I62" s="28"/>
      <c r="J62" s="2"/>
    </row>
    <row r="63" ht="15" customHeight="1" spans="1:10">
      <c r="A63" s="6"/>
      <c r="B63" s="18" t="str">
        <f t="shared" si="0"/>
        <v/>
      </c>
      <c r="C63" s="2"/>
      <c r="D63" s="2"/>
      <c r="E63" s="2"/>
      <c r="F63" s="2"/>
      <c r="G63" s="2"/>
      <c r="H63" s="2"/>
      <c r="I63" s="28"/>
      <c r="J63" s="2"/>
    </row>
    <row r="64" ht="15" customHeight="1" spans="1:10">
      <c r="A64" s="6"/>
      <c r="B64" s="18" t="str">
        <f t="shared" si="0"/>
        <v/>
      </c>
      <c r="C64" s="2"/>
      <c r="D64" s="2"/>
      <c r="E64" s="2"/>
      <c r="F64" s="2"/>
      <c r="G64" s="2"/>
      <c r="H64" s="2"/>
      <c r="I64" s="28"/>
      <c r="J64" s="2"/>
    </row>
    <row r="65" ht="15" customHeight="1" spans="1:10">
      <c r="A65" s="6"/>
      <c r="B65" s="18" t="str">
        <f t="shared" si="0"/>
        <v/>
      </c>
      <c r="C65" s="2"/>
      <c r="D65" s="2"/>
      <c r="E65" s="2"/>
      <c r="F65" s="2"/>
      <c r="G65" s="2"/>
      <c r="H65" s="2"/>
      <c r="I65" s="28"/>
      <c r="J65" s="2"/>
    </row>
    <row r="66" ht="15" customHeight="1" spans="1:10">
      <c r="A66" s="6"/>
      <c r="B66" s="18" t="str">
        <f t="shared" si="0"/>
        <v/>
      </c>
      <c r="C66" s="2"/>
      <c r="D66" s="2"/>
      <c r="E66" s="2"/>
      <c r="F66" s="2"/>
      <c r="G66" s="2"/>
      <c r="H66" s="2"/>
      <c r="I66" s="28"/>
      <c r="J66" s="2"/>
    </row>
    <row r="67" ht="15" customHeight="1" spans="1:10">
      <c r="A67" s="6"/>
      <c r="B67" s="18" t="str">
        <f t="shared" si="0"/>
        <v/>
      </c>
      <c r="C67" s="2"/>
      <c r="D67" s="2"/>
      <c r="E67" s="2"/>
      <c r="F67" s="2"/>
      <c r="G67" s="2"/>
      <c r="H67" s="2"/>
      <c r="I67" s="28"/>
      <c r="J67" s="2"/>
    </row>
    <row r="68" ht="15" customHeight="1" spans="1:10">
      <c r="A68" s="6"/>
      <c r="B68" s="18" t="str">
        <f t="shared" ref="B68:B131" si="1">IF(A68="","",DATE(YEAR(A68),MONTH(A68),1))</f>
        <v/>
      </c>
      <c r="C68" s="2"/>
      <c r="D68" s="2"/>
      <c r="E68" s="2"/>
      <c r="F68" s="2"/>
      <c r="G68" s="2"/>
      <c r="H68" s="2"/>
      <c r="I68" s="28"/>
      <c r="J68" s="2"/>
    </row>
    <row r="69" ht="15" customHeight="1" spans="1:10">
      <c r="A69" s="6"/>
      <c r="B69" s="18" t="str">
        <f t="shared" si="1"/>
        <v/>
      </c>
      <c r="C69" s="2"/>
      <c r="D69" s="2"/>
      <c r="E69" s="2"/>
      <c r="F69" s="2"/>
      <c r="G69" s="2"/>
      <c r="H69" s="2"/>
      <c r="I69" s="28"/>
      <c r="J69" s="2"/>
    </row>
    <row r="70" ht="15" customHeight="1" spans="1:10">
      <c r="A70" s="6"/>
      <c r="B70" s="18" t="str">
        <f t="shared" si="1"/>
        <v/>
      </c>
      <c r="C70" s="2"/>
      <c r="D70" s="2"/>
      <c r="E70" s="2"/>
      <c r="F70" s="2"/>
      <c r="G70" s="2"/>
      <c r="H70" s="2"/>
      <c r="I70" s="28"/>
      <c r="J70" s="2"/>
    </row>
    <row r="71" ht="15" customHeight="1" spans="1:10">
      <c r="A71" s="6"/>
      <c r="B71" s="18" t="str">
        <f t="shared" si="1"/>
        <v/>
      </c>
      <c r="C71" s="2"/>
      <c r="D71" s="2"/>
      <c r="E71" s="2"/>
      <c r="F71" s="2"/>
      <c r="G71" s="2"/>
      <c r="H71" s="2"/>
      <c r="I71" s="28"/>
      <c r="J71" s="2"/>
    </row>
    <row r="72" ht="15" customHeight="1" spans="1:10">
      <c r="A72" s="6"/>
      <c r="B72" s="18" t="str">
        <f t="shared" si="1"/>
        <v/>
      </c>
      <c r="C72" s="2"/>
      <c r="D72" s="2"/>
      <c r="E72" s="2"/>
      <c r="F72" s="2"/>
      <c r="G72" s="2"/>
      <c r="H72" s="2"/>
      <c r="I72" s="28"/>
      <c r="J72" s="2"/>
    </row>
    <row r="73" ht="15" customHeight="1" spans="1:10">
      <c r="A73" s="6"/>
      <c r="B73" s="18" t="str">
        <f t="shared" si="1"/>
        <v/>
      </c>
      <c r="C73" s="2"/>
      <c r="D73" s="2"/>
      <c r="E73" s="2"/>
      <c r="F73" s="2"/>
      <c r="G73" s="2"/>
      <c r="H73" s="2"/>
      <c r="I73" s="28"/>
      <c r="J73" s="2"/>
    </row>
    <row r="74" ht="15" customHeight="1" spans="1:10">
      <c r="A74" s="6"/>
      <c r="B74" s="18" t="str">
        <f t="shared" si="1"/>
        <v/>
      </c>
      <c r="C74" s="2"/>
      <c r="D74" s="2"/>
      <c r="E74" s="2"/>
      <c r="F74" s="2"/>
      <c r="G74" s="2"/>
      <c r="H74" s="2"/>
      <c r="I74" s="28"/>
      <c r="J74" s="2"/>
    </row>
    <row r="75" ht="15" customHeight="1" spans="1:10">
      <c r="A75" s="6"/>
      <c r="B75" s="18" t="str">
        <f t="shared" si="1"/>
        <v/>
      </c>
      <c r="C75" s="2"/>
      <c r="D75" s="2"/>
      <c r="E75" s="2"/>
      <c r="F75" s="2"/>
      <c r="G75" s="2"/>
      <c r="H75" s="2"/>
      <c r="I75" s="28"/>
      <c r="J75" s="2"/>
    </row>
    <row r="76" ht="15" customHeight="1" spans="1:10">
      <c r="A76" s="6"/>
      <c r="B76" s="18" t="str">
        <f t="shared" si="1"/>
        <v/>
      </c>
      <c r="C76" s="2"/>
      <c r="D76" s="2"/>
      <c r="E76" s="2"/>
      <c r="F76" s="2"/>
      <c r="G76" s="2"/>
      <c r="H76" s="2"/>
      <c r="I76" s="28"/>
      <c r="J76" s="2"/>
    </row>
    <row r="77" ht="15" customHeight="1" spans="1:10">
      <c r="A77" s="6"/>
      <c r="B77" s="18" t="str">
        <f t="shared" si="1"/>
        <v/>
      </c>
      <c r="C77" s="2"/>
      <c r="D77" s="2"/>
      <c r="E77" s="2"/>
      <c r="F77" s="2"/>
      <c r="G77" s="2"/>
      <c r="H77" s="2"/>
      <c r="I77" s="28"/>
      <c r="J77" s="2"/>
    </row>
    <row r="78" ht="15" customHeight="1" spans="1:10">
      <c r="A78" s="6"/>
      <c r="B78" s="18" t="str">
        <f t="shared" si="1"/>
        <v/>
      </c>
      <c r="C78" s="2"/>
      <c r="D78" s="2"/>
      <c r="E78" s="2"/>
      <c r="F78" s="2"/>
      <c r="G78" s="2"/>
      <c r="H78" s="2"/>
      <c r="I78" s="28"/>
      <c r="J78" s="2"/>
    </row>
    <row r="79" ht="15" customHeight="1" spans="1:10">
      <c r="A79" s="6"/>
      <c r="B79" s="18" t="str">
        <f t="shared" si="1"/>
        <v/>
      </c>
      <c r="C79" s="2"/>
      <c r="D79" s="2"/>
      <c r="E79" s="2"/>
      <c r="F79" s="2"/>
      <c r="G79" s="2"/>
      <c r="H79" s="2"/>
      <c r="I79" s="28"/>
      <c r="J79" s="2"/>
    </row>
    <row r="80" ht="15" customHeight="1" spans="1:10">
      <c r="A80" s="6"/>
      <c r="B80" s="18" t="str">
        <f t="shared" si="1"/>
        <v/>
      </c>
      <c r="C80" s="2"/>
      <c r="D80" s="2"/>
      <c r="E80" s="2"/>
      <c r="F80" s="2"/>
      <c r="G80" s="2"/>
      <c r="H80" s="2"/>
      <c r="I80" s="28"/>
      <c r="J80" s="2"/>
    </row>
    <row r="81" ht="15" customHeight="1" spans="1:10">
      <c r="A81" s="6"/>
      <c r="B81" s="18" t="str">
        <f t="shared" si="1"/>
        <v/>
      </c>
      <c r="C81" s="2"/>
      <c r="D81" s="2"/>
      <c r="E81" s="2"/>
      <c r="F81" s="2"/>
      <c r="G81" s="2"/>
      <c r="H81" s="2"/>
      <c r="I81" s="28"/>
      <c r="J81" s="2"/>
    </row>
    <row r="82" ht="15" customHeight="1" spans="1:10">
      <c r="A82" s="6"/>
      <c r="B82" s="18" t="str">
        <f t="shared" si="1"/>
        <v/>
      </c>
      <c r="C82" s="2"/>
      <c r="D82" s="2"/>
      <c r="E82" s="2"/>
      <c r="F82" s="2"/>
      <c r="G82" s="2"/>
      <c r="H82" s="2"/>
      <c r="I82" s="28"/>
      <c r="J82" s="2"/>
    </row>
    <row r="83" ht="15" customHeight="1" spans="1:10">
      <c r="A83" s="6"/>
      <c r="B83" s="18" t="str">
        <f t="shared" si="1"/>
        <v/>
      </c>
      <c r="C83" s="2"/>
      <c r="D83" s="2"/>
      <c r="E83" s="2"/>
      <c r="F83" s="2"/>
      <c r="G83" s="2"/>
      <c r="H83" s="2"/>
      <c r="I83" s="28"/>
      <c r="J83" s="2"/>
    </row>
    <row r="84" ht="15" customHeight="1" spans="1:10">
      <c r="A84" s="6"/>
      <c r="B84" s="18" t="str">
        <f t="shared" si="1"/>
        <v/>
      </c>
      <c r="C84" s="2"/>
      <c r="D84" s="2"/>
      <c r="E84" s="2"/>
      <c r="F84" s="2"/>
      <c r="G84" s="2"/>
      <c r="H84" s="2"/>
      <c r="I84" s="28"/>
      <c r="J84" s="2"/>
    </row>
    <row r="85" ht="15" customHeight="1" spans="1:10">
      <c r="A85" s="6"/>
      <c r="B85" s="18" t="str">
        <f t="shared" si="1"/>
        <v/>
      </c>
      <c r="C85" s="2"/>
      <c r="D85" s="2"/>
      <c r="E85" s="2"/>
      <c r="F85" s="2"/>
      <c r="G85" s="2"/>
      <c r="H85" s="2"/>
      <c r="I85" s="28"/>
      <c r="J85" s="2"/>
    </row>
    <row r="86" ht="15" customHeight="1" spans="1:10">
      <c r="A86" s="6"/>
      <c r="B86" s="18" t="str">
        <f t="shared" si="1"/>
        <v/>
      </c>
      <c r="C86" s="2"/>
      <c r="D86" s="2"/>
      <c r="E86" s="2"/>
      <c r="F86" s="2"/>
      <c r="G86" s="2"/>
      <c r="H86" s="2"/>
      <c r="I86" s="28"/>
      <c r="J86" s="2"/>
    </row>
    <row r="87" ht="15" customHeight="1" spans="1:10">
      <c r="A87" s="6"/>
      <c r="B87" s="18" t="str">
        <f t="shared" si="1"/>
        <v/>
      </c>
      <c r="C87" s="2"/>
      <c r="D87" s="2"/>
      <c r="E87" s="2"/>
      <c r="F87" s="2"/>
      <c r="G87" s="2"/>
      <c r="H87" s="2"/>
      <c r="I87" s="28"/>
      <c r="J87" s="2"/>
    </row>
    <row r="88" ht="15" customHeight="1" spans="1:10">
      <c r="A88" s="6"/>
      <c r="B88" s="18" t="str">
        <f t="shared" si="1"/>
        <v/>
      </c>
      <c r="C88" s="2"/>
      <c r="D88" s="2"/>
      <c r="E88" s="2"/>
      <c r="F88" s="2"/>
      <c r="G88" s="2"/>
      <c r="H88" s="2"/>
      <c r="I88" s="28"/>
      <c r="J88" s="2"/>
    </row>
    <row r="89" ht="15" customHeight="1" spans="1:10">
      <c r="A89" s="6"/>
      <c r="B89" s="18" t="str">
        <f t="shared" si="1"/>
        <v/>
      </c>
      <c r="C89" s="2"/>
      <c r="D89" s="2"/>
      <c r="E89" s="2"/>
      <c r="F89" s="2"/>
      <c r="G89" s="2"/>
      <c r="H89" s="2"/>
      <c r="I89" s="28"/>
      <c r="J89" s="2"/>
    </row>
    <row r="90" ht="15" customHeight="1" spans="1:10">
      <c r="A90" s="6"/>
      <c r="B90" s="18" t="str">
        <f t="shared" si="1"/>
        <v/>
      </c>
      <c r="C90" s="2"/>
      <c r="D90" s="2"/>
      <c r="E90" s="2"/>
      <c r="F90" s="2"/>
      <c r="G90" s="2"/>
      <c r="H90" s="2"/>
      <c r="I90" s="28"/>
      <c r="J90" s="2"/>
    </row>
    <row r="91" ht="15" customHeight="1" spans="1:10">
      <c r="A91" s="6"/>
      <c r="B91" s="18" t="str">
        <f t="shared" si="1"/>
        <v/>
      </c>
      <c r="C91" s="2"/>
      <c r="D91" s="2"/>
      <c r="E91" s="2"/>
      <c r="F91" s="2"/>
      <c r="G91" s="2"/>
      <c r="H91" s="2"/>
      <c r="I91" s="28"/>
      <c r="J91" s="2"/>
    </row>
    <row r="92" ht="15" customHeight="1" spans="1:10">
      <c r="A92" s="6"/>
      <c r="B92" s="18" t="str">
        <f t="shared" si="1"/>
        <v/>
      </c>
      <c r="C92" s="2"/>
      <c r="D92" s="2"/>
      <c r="E92" s="2"/>
      <c r="F92" s="2"/>
      <c r="G92" s="2"/>
      <c r="H92" s="2"/>
      <c r="I92" s="28"/>
      <c r="J92" s="2"/>
    </row>
    <row r="93" ht="15" customHeight="1" spans="1:10">
      <c r="A93" s="6"/>
      <c r="B93" s="18" t="str">
        <f t="shared" si="1"/>
        <v/>
      </c>
      <c r="C93" s="2"/>
      <c r="D93" s="2"/>
      <c r="E93" s="2"/>
      <c r="F93" s="2"/>
      <c r="G93" s="2"/>
      <c r="H93" s="2"/>
      <c r="I93" s="28"/>
      <c r="J93" s="2"/>
    </row>
    <row r="94" ht="15" customHeight="1" spans="1:10">
      <c r="A94" s="6"/>
      <c r="B94" s="18" t="str">
        <f t="shared" si="1"/>
        <v/>
      </c>
      <c r="C94" s="2"/>
      <c r="D94" s="2"/>
      <c r="E94" s="2"/>
      <c r="F94" s="2"/>
      <c r="G94" s="2"/>
      <c r="H94" s="2"/>
      <c r="I94" s="28"/>
      <c r="J94" s="2"/>
    </row>
    <row r="95" ht="15" customHeight="1" spans="1:10">
      <c r="A95" s="6"/>
      <c r="B95" s="18" t="str">
        <f t="shared" si="1"/>
        <v/>
      </c>
      <c r="C95" s="2"/>
      <c r="D95" s="2"/>
      <c r="E95" s="2"/>
      <c r="F95" s="2"/>
      <c r="G95" s="2"/>
      <c r="H95" s="2"/>
      <c r="I95" s="28"/>
      <c r="J95" s="2"/>
    </row>
    <row r="96" ht="15" customHeight="1" spans="1:10">
      <c r="A96" s="6"/>
      <c r="B96" s="18" t="str">
        <f t="shared" si="1"/>
        <v/>
      </c>
      <c r="C96" s="2"/>
      <c r="D96" s="2"/>
      <c r="E96" s="2"/>
      <c r="F96" s="2"/>
      <c r="G96" s="2"/>
      <c r="H96" s="2"/>
      <c r="I96" s="28"/>
      <c r="J96" s="2"/>
    </row>
    <row r="97" ht="15" customHeight="1" spans="1:10">
      <c r="A97" s="6"/>
      <c r="B97" s="18" t="str">
        <f t="shared" si="1"/>
        <v/>
      </c>
      <c r="C97" s="2"/>
      <c r="D97" s="2"/>
      <c r="E97" s="2"/>
      <c r="F97" s="2"/>
      <c r="G97" s="2"/>
      <c r="H97" s="2"/>
      <c r="I97" s="28"/>
      <c r="J97" s="2"/>
    </row>
    <row r="98" ht="15" customHeight="1" spans="1:10">
      <c r="A98" s="6"/>
      <c r="B98" s="18" t="str">
        <f t="shared" si="1"/>
        <v/>
      </c>
      <c r="C98" s="2"/>
      <c r="D98" s="2"/>
      <c r="E98" s="2"/>
      <c r="F98" s="2"/>
      <c r="G98" s="2"/>
      <c r="H98" s="2"/>
      <c r="I98" s="28"/>
      <c r="J98" s="2"/>
    </row>
    <row r="99" ht="15" customHeight="1" spans="1:10">
      <c r="A99" s="6"/>
      <c r="B99" s="18" t="str">
        <f t="shared" si="1"/>
        <v/>
      </c>
      <c r="C99" s="2"/>
      <c r="D99" s="2"/>
      <c r="E99" s="2"/>
      <c r="F99" s="2"/>
      <c r="G99" s="2"/>
      <c r="H99" s="2"/>
      <c r="I99" s="28"/>
      <c r="J99" s="2"/>
    </row>
    <row r="100" ht="15" customHeight="1" spans="1:10">
      <c r="A100" s="6"/>
      <c r="B100" s="18" t="str">
        <f t="shared" si="1"/>
        <v/>
      </c>
      <c r="C100" s="2"/>
      <c r="D100" s="2"/>
      <c r="E100" s="2"/>
      <c r="F100" s="2"/>
      <c r="G100" s="2"/>
      <c r="H100" s="2"/>
      <c r="I100" s="28"/>
      <c r="J100" s="2"/>
    </row>
    <row r="101" ht="15" customHeight="1" spans="1:10">
      <c r="A101" s="6"/>
      <c r="B101" s="18" t="str">
        <f t="shared" si="1"/>
        <v/>
      </c>
      <c r="C101" s="2"/>
      <c r="D101" s="2"/>
      <c r="E101" s="2"/>
      <c r="F101" s="2"/>
      <c r="G101" s="2"/>
      <c r="H101" s="2"/>
      <c r="I101" s="28"/>
      <c r="J101" s="2"/>
    </row>
    <row r="102" ht="15" customHeight="1" spans="1:10">
      <c r="A102" s="6"/>
      <c r="B102" s="18" t="str">
        <f t="shared" si="1"/>
        <v/>
      </c>
      <c r="C102" s="2"/>
      <c r="D102" s="2"/>
      <c r="E102" s="2"/>
      <c r="F102" s="2"/>
      <c r="G102" s="2"/>
      <c r="H102" s="2"/>
      <c r="I102" s="28"/>
      <c r="J102" s="2"/>
    </row>
    <row r="103" ht="15" customHeight="1" spans="1:10">
      <c r="A103" s="6"/>
      <c r="B103" s="18" t="str">
        <f t="shared" si="1"/>
        <v/>
      </c>
      <c r="C103" s="2"/>
      <c r="D103" s="2"/>
      <c r="E103" s="2"/>
      <c r="F103" s="2"/>
      <c r="G103" s="2"/>
      <c r="H103" s="2"/>
      <c r="I103" s="28"/>
      <c r="J103" s="2"/>
    </row>
    <row r="104" ht="15" customHeight="1" spans="1:10">
      <c r="A104" s="6"/>
      <c r="B104" s="18" t="str">
        <f t="shared" si="1"/>
        <v/>
      </c>
      <c r="C104" s="2"/>
      <c r="D104" s="2"/>
      <c r="E104" s="2"/>
      <c r="F104" s="2"/>
      <c r="G104" s="2"/>
      <c r="H104" s="2"/>
      <c r="I104" s="28"/>
      <c r="J104" s="2"/>
    </row>
    <row r="105" ht="15" customHeight="1" spans="1:10">
      <c r="A105" s="6"/>
      <c r="B105" s="18" t="str">
        <f t="shared" si="1"/>
        <v/>
      </c>
      <c r="C105" s="2"/>
      <c r="D105" s="2"/>
      <c r="E105" s="2"/>
      <c r="F105" s="2"/>
      <c r="G105" s="2"/>
      <c r="H105" s="2"/>
      <c r="I105" s="28"/>
      <c r="J105" s="2"/>
    </row>
    <row r="106" ht="15" customHeight="1" spans="1:10">
      <c r="A106" s="6"/>
      <c r="B106" s="18" t="str">
        <f t="shared" si="1"/>
        <v/>
      </c>
      <c r="C106" s="2"/>
      <c r="D106" s="2"/>
      <c r="E106" s="2"/>
      <c r="F106" s="2"/>
      <c r="G106" s="2"/>
      <c r="H106" s="2"/>
      <c r="I106" s="28"/>
      <c r="J106" s="2"/>
    </row>
    <row r="107" ht="15" customHeight="1" spans="1:10">
      <c r="A107" s="6"/>
      <c r="B107" s="18" t="str">
        <f t="shared" si="1"/>
        <v/>
      </c>
      <c r="C107" s="2"/>
      <c r="D107" s="2"/>
      <c r="E107" s="2"/>
      <c r="F107" s="2"/>
      <c r="G107" s="2"/>
      <c r="H107" s="2"/>
      <c r="I107" s="28"/>
      <c r="J107" s="2"/>
    </row>
    <row r="108" ht="15" customHeight="1" spans="1:10">
      <c r="A108" s="6"/>
      <c r="B108" s="18" t="str">
        <f t="shared" si="1"/>
        <v/>
      </c>
      <c r="C108" s="2"/>
      <c r="D108" s="2"/>
      <c r="E108" s="2"/>
      <c r="F108" s="2"/>
      <c r="G108" s="2"/>
      <c r="H108" s="2"/>
      <c r="I108" s="28"/>
      <c r="J108" s="2"/>
    </row>
    <row r="109" ht="15" customHeight="1" spans="1:10">
      <c r="A109" s="6"/>
      <c r="B109" s="18" t="str">
        <f t="shared" si="1"/>
        <v/>
      </c>
      <c r="C109" s="2"/>
      <c r="D109" s="2"/>
      <c r="E109" s="2"/>
      <c r="F109" s="2"/>
      <c r="G109" s="2"/>
      <c r="H109" s="2"/>
      <c r="I109" s="28"/>
      <c r="J109" s="2"/>
    </row>
    <row r="110" ht="15" customHeight="1" spans="1:10">
      <c r="A110" s="6"/>
      <c r="B110" s="18" t="str">
        <f t="shared" si="1"/>
        <v/>
      </c>
      <c r="C110" s="2"/>
      <c r="D110" s="2"/>
      <c r="E110" s="2"/>
      <c r="F110" s="2"/>
      <c r="G110" s="2"/>
      <c r="H110" s="2"/>
      <c r="I110" s="28"/>
      <c r="J110" s="2"/>
    </row>
    <row r="111" ht="15" customHeight="1" spans="1:10">
      <c r="A111" s="6"/>
      <c r="B111" s="18" t="str">
        <f t="shared" si="1"/>
        <v/>
      </c>
      <c r="C111" s="2"/>
      <c r="D111" s="2"/>
      <c r="E111" s="2"/>
      <c r="F111" s="2"/>
      <c r="G111" s="2"/>
      <c r="H111" s="2"/>
      <c r="I111" s="28"/>
      <c r="J111" s="2"/>
    </row>
    <row r="112" ht="15" customHeight="1" spans="1:10">
      <c r="A112" s="6"/>
      <c r="B112" s="18" t="str">
        <f t="shared" si="1"/>
        <v/>
      </c>
      <c r="C112" s="2"/>
      <c r="D112" s="2"/>
      <c r="E112" s="2"/>
      <c r="F112" s="2"/>
      <c r="G112" s="2"/>
      <c r="H112" s="2"/>
      <c r="I112" s="28"/>
      <c r="J112" s="2"/>
    </row>
    <row r="113" ht="15" customHeight="1" spans="1:10">
      <c r="A113" s="6"/>
      <c r="B113" s="18" t="str">
        <f t="shared" si="1"/>
        <v/>
      </c>
      <c r="C113" s="2"/>
      <c r="D113" s="2"/>
      <c r="E113" s="2"/>
      <c r="F113" s="2"/>
      <c r="G113" s="2"/>
      <c r="H113" s="2"/>
      <c r="I113" s="28"/>
      <c r="J113" s="2"/>
    </row>
    <row r="114" ht="15" customHeight="1" spans="1:10">
      <c r="A114" s="6"/>
      <c r="B114" s="18" t="str">
        <f t="shared" si="1"/>
        <v/>
      </c>
      <c r="C114" s="2"/>
      <c r="D114" s="2"/>
      <c r="E114" s="2"/>
      <c r="F114" s="2"/>
      <c r="G114" s="2"/>
      <c r="H114" s="2"/>
      <c r="I114" s="28"/>
      <c r="J114" s="2"/>
    </row>
    <row r="115" ht="15" customHeight="1" spans="1:10">
      <c r="A115" s="6"/>
      <c r="B115" s="18" t="str">
        <f t="shared" si="1"/>
        <v/>
      </c>
      <c r="C115" s="2"/>
      <c r="D115" s="2"/>
      <c r="E115" s="2"/>
      <c r="F115" s="2"/>
      <c r="G115" s="2"/>
      <c r="H115" s="2"/>
      <c r="I115" s="28"/>
      <c r="J115" s="2"/>
    </row>
    <row r="116" ht="15" customHeight="1" spans="1:10">
      <c r="A116" s="6"/>
      <c r="B116" s="18" t="str">
        <f t="shared" si="1"/>
        <v/>
      </c>
      <c r="C116" s="2"/>
      <c r="D116" s="2"/>
      <c r="E116" s="2"/>
      <c r="F116" s="2"/>
      <c r="G116" s="2"/>
      <c r="H116" s="2"/>
      <c r="I116" s="28"/>
      <c r="J116" s="2"/>
    </row>
    <row r="117" ht="15" customHeight="1" spans="1:10">
      <c r="A117" s="6"/>
      <c r="B117" s="18" t="str">
        <f t="shared" si="1"/>
        <v/>
      </c>
      <c r="C117" s="2"/>
      <c r="D117" s="2"/>
      <c r="E117" s="2"/>
      <c r="F117" s="2"/>
      <c r="G117" s="2"/>
      <c r="H117" s="2"/>
      <c r="I117" s="28"/>
      <c r="J117" s="2"/>
    </row>
    <row r="118" ht="15" customHeight="1" spans="1:10">
      <c r="A118" s="6"/>
      <c r="B118" s="18" t="str">
        <f t="shared" si="1"/>
        <v/>
      </c>
      <c r="C118" s="2"/>
      <c r="D118" s="2"/>
      <c r="E118" s="2"/>
      <c r="F118" s="2"/>
      <c r="G118" s="2"/>
      <c r="H118" s="2"/>
      <c r="I118" s="28"/>
      <c r="J118" s="2"/>
    </row>
    <row r="119" ht="15" customHeight="1" spans="1:10">
      <c r="A119" s="6"/>
      <c r="B119" s="18" t="str">
        <f t="shared" si="1"/>
        <v/>
      </c>
      <c r="C119" s="2"/>
      <c r="D119" s="2"/>
      <c r="E119" s="2"/>
      <c r="F119" s="2"/>
      <c r="G119" s="2"/>
      <c r="H119" s="2"/>
      <c r="I119" s="28"/>
      <c r="J119" s="2"/>
    </row>
    <row r="120" ht="15" customHeight="1" spans="1:10">
      <c r="A120" s="6"/>
      <c r="B120" s="18" t="str">
        <f t="shared" si="1"/>
        <v/>
      </c>
      <c r="C120" s="2"/>
      <c r="D120" s="2"/>
      <c r="E120" s="2"/>
      <c r="F120" s="2"/>
      <c r="G120" s="2"/>
      <c r="H120" s="2"/>
      <c r="I120" s="28"/>
      <c r="J120" s="2"/>
    </row>
    <row r="121" ht="15" customHeight="1" spans="1:10">
      <c r="A121" s="6"/>
      <c r="B121" s="18" t="str">
        <f t="shared" si="1"/>
        <v/>
      </c>
      <c r="C121" s="2"/>
      <c r="D121" s="2"/>
      <c r="E121" s="2"/>
      <c r="F121" s="2"/>
      <c r="G121" s="2"/>
      <c r="H121" s="2"/>
      <c r="I121" s="28"/>
      <c r="J121" s="2"/>
    </row>
    <row r="122" ht="15" customHeight="1" spans="1:10">
      <c r="A122" s="6"/>
      <c r="B122" s="18" t="str">
        <f t="shared" si="1"/>
        <v/>
      </c>
      <c r="C122" s="2"/>
      <c r="D122" s="2"/>
      <c r="E122" s="2"/>
      <c r="F122" s="2"/>
      <c r="G122" s="2"/>
      <c r="H122" s="2"/>
      <c r="I122" s="28"/>
      <c r="J122" s="2"/>
    </row>
    <row r="123" ht="15" customHeight="1" spans="1:10">
      <c r="A123" s="6"/>
      <c r="B123" s="18" t="str">
        <f t="shared" si="1"/>
        <v/>
      </c>
      <c r="C123" s="2"/>
      <c r="D123" s="2"/>
      <c r="E123" s="2"/>
      <c r="F123" s="2"/>
      <c r="G123" s="2"/>
      <c r="H123" s="2"/>
      <c r="I123" s="28"/>
      <c r="J123" s="2"/>
    </row>
    <row r="124" ht="15" customHeight="1" spans="1:10">
      <c r="A124" s="6"/>
      <c r="B124" s="18" t="str">
        <f t="shared" si="1"/>
        <v/>
      </c>
      <c r="C124" s="2"/>
      <c r="D124" s="2"/>
      <c r="E124" s="2"/>
      <c r="F124" s="2"/>
      <c r="G124" s="2"/>
      <c r="H124" s="2"/>
      <c r="I124" s="28"/>
      <c r="J124" s="2"/>
    </row>
    <row r="125" ht="15" customHeight="1" spans="1:10">
      <c r="A125" s="6"/>
      <c r="B125" s="18" t="str">
        <f t="shared" si="1"/>
        <v/>
      </c>
      <c r="C125" s="2"/>
      <c r="D125" s="2"/>
      <c r="E125" s="2"/>
      <c r="F125" s="2"/>
      <c r="G125" s="2"/>
      <c r="H125" s="2"/>
      <c r="I125" s="28"/>
      <c r="J125" s="2"/>
    </row>
    <row r="126" ht="15" customHeight="1" spans="1:10">
      <c r="A126" s="6"/>
      <c r="B126" s="18" t="str">
        <f t="shared" si="1"/>
        <v/>
      </c>
      <c r="C126" s="2"/>
      <c r="D126" s="2"/>
      <c r="E126" s="2"/>
      <c r="F126" s="2"/>
      <c r="G126" s="2"/>
      <c r="H126" s="2"/>
      <c r="I126" s="28"/>
      <c r="J126" s="2"/>
    </row>
    <row r="127" ht="15" customHeight="1" spans="1:10">
      <c r="A127" s="6"/>
      <c r="B127" s="18" t="str">
        <f t="shared" si="1"/>
        <v/>
      </c>
      <c r="C127" s="2"/>
      <c r="D127" s="2"/>
      <c r="E127" s="2"/>
      <c r="F127" s="2"/>
      <c r="G127" s="2"/>
      <c r="H127" s="2"/>
      <c r="I127" s="28"/>
      <c r="J127" s="2"/>
    </row>
    <row r="128" ht="15" customHeight="1" spans="1:10">
      <c r="A128" s="6"/>
      <c r="B128" s="18" t="str">
        <f t="shared" si="1"/>
        <v/>
      </c>
      <c r="C128" s="2"/>
      <c r="D128" s="2"/>
      <c r="E128" s="2"/>
      <c r="F128" s="2"/>
      <c r="G128" s="2"/>
      <c r="H128" s="2"/>
      <c r="I128" s="28"/>
      <c r="J128" s="2"/>
    </row>
    <row r="129" ht="15" customHeight="1" spans="1:10">
      <c r="A129" s="6"/>
      <c r="B129" s="18" t="str">
        <f t="shared" si="1"/>
        <v/>
      </c>
      <c r="C129" s="2"/>
      <c r="D129" s="2"/>
      <c r="E129" s="2"/>
      <c r="F129" s="2"/>
      <c r="G129" s="2"/>
      <c r="H129" s="2"/>
      <c r="I129" s="28"/>
      <c r="J129" s="2"/>
    </row>
    <row r="130" ht="15" customHeight="1" spans="1:10">
      <c r="A130" s="6"/>
      <c r="B130" s="18" t="str">
        <f t="shared" si="1"/>
        <v/>
      </c>
      <c r="C130" s="2"/>
      <c r="D130" s="2"/>
      <c r="E130" s="2"/>
      <c r="F130" s="2"/>
      <c r="G130" s="2"/>
      <c r="H130" s="2"/>
      <c r="I130" s="28"/>
      <c r="J130" s="2"/>
    </row>
    <row r="131" ht="15" customHeight="1" spans="1:10">
      <c r="A131" s="6"/>
      <c r="B131" s="18" t="str">
        <f t="shared" si="1"/>
        <v/>
      </c>
      <c r="C131" s="2"/>
      <c r="D131" s="2"/>
      <c r="E131" s="2"/>
      <c r="F131" s="2"/>
      <c r="G131" s="2"/>
      <c r="H131" s="2"/>
      <c r="I131" s="28"/>
      <c r="J131" s="2"/>
    </row>
    <row r="132" ht="15" customHeight="1" spans="1:10">
      <c r="A132" s="6"/>
      <c r="B132" s="18" t="str">
        <f t="shared" ref="B132:B195" si="2">IF(A132="","",DATE(YEAR(A132),MONTH(A132),1))</f>
        <v/>
      </c>
      <c r="C132" s="2"/>
      <c r="D132" s="2"/>
      <c r="E132" s="2"/>
      <c r="F132" s="2"/>
      <c r="G132" s="2"/>
      <c r="H132" s="2"/>
      <c r="I132" s="28"/>
      <c r="J132" s="2"/>
    </row>
    <row r="133" ht="15" customHeight="1" spans="1:10">
      <c r="A133" s="6"/>
      <c r="B133" s="18" t="str">
        <f t="shared" si="2"/>
        <v/>
      </c>
      <c r="C133" s="2"/>
      <c r="D133" s="2"/>
      <c r="E133" s="2"/>
      <c r="F133" s="2"/>
      <c r="G133" s="2"/>
      <c r="H133" s="2"/>
      <c r="I133" s="28"/>
      <c r="J133" s="2"/>
    </row>
    <row r="134" ht="15" customHeight="1" spans="1:10">
      <c r="A134" s="6"/>
      <c r="B134" s="18" t="str">
        <f t="shared" si="2"/>
        <v/>
      </c>
      <c r="C134" s="2"/>
      <c r="D134" s="2"/>
      <c r="E134" s="2"/>
      <c r="F134" s="2"/>
      <c r="G134" s="2"/>
      <c r="H134" s="2"/>
      <c r="I134" s="28"/>
      <c r="J134" s="2"/>
    </row>
    <row r="135" ht="15" customHeight="1" spans="1:10">
      <c r="A135" s="6"/>
      <c r="B135" s="18" t="str">
        <f t="shared" si="2"/>
        <v/>
      </c>
      <c r="C135" s="2"/>
      <c r="D135" s="2"/>
      <c r="E135" s="2"/>
      <c r="F135" s="2"/>
      <c r="G135" s="2"/>
      <c r="H135" s="2"/>
      <c r="I135" s="28"/>
      <c r="J135" s="2"/>
    </row>
    <row r="136" ht="15" customHeight="1" spans="1:10">
      <c r="A136" s="6"/>
      <c r="B136" s="18" t="str">
        <f t="shared" si="2"/>
        <v/>
      </c>
      <c r="C136" s="2"/>
      <c r="D136" s="2"/>
      <c r="E136" s="2"/>
      <c r="F136" s="2"/>
      <c r="G136" s="2"/>
      <c r="H136" s="2"/>
      <c r="I136" s="28"/>
      <c r="J136" s="2"/>
    </row>
    <row r="137" ht="15" customHeight="1" spans="1:10">
      <c r="A137" s="6"/>
      <c r="B137" s="18" t="str">
        <f t="shared" si="2"/>
        <v/>
      </c>
      <c r="C137" s="2"/>
      <c r="D137" s="2"/>
      <c r="E137" s="2"/>
      <c r="F137" s="2"/>
      <c r="G137" s="2"/>
      <c r="H137" s="2"/>
      <c r="I137" s="28"/>
      <c r="J137" s="2"/>
    </row>
    <row r="138" ht="15" customHeight="1" spans="1:10">
      <c r="A138" s="6"/>
      <c r="B138" s="18" t="str">
        <f t="shared" si="2"/>
        <v/>
      </c>
      <c r="C138" s="2"/>
      <c r="D138" s="2"/>
      <c r="E138" s="2"/>
      <c r="F138" s="2"/>
      <c r="G138" s="2"/>
      <c r="H138" s="2"/>
      <c r="I138" s="28"/>
      <c r="J138" s="2"/>
    </row>
    <row r="139" ht="15" customHeight="1" spans="1:10">
      <c r="A139" s="6"/>
      <c r="B139" s="18" t="str">
        <f t="shared" si="2"/>
        <v/>
      </c>
      <c r="C139" s="2"/>
      <c r="D139" s="2"/>
      <c r="E139" s="2"/>
      <c r="F139" s="2"/>
      <c r="G139" s="2"/>
      <c r="H139" s="2"/>
      <c r="I139" s="28"/>
      <c r="J139" s="2"/>
    </row>
    <row r="140" ht="15" customHeight="1" spans="1:10">
      <c r="A140" s="6"/>
      <c r="B140" s="18" t="str">
        <f t="shared" si="2"/>
        <v/>
      </c>
      <c r="C140" s="2"/>
      <c r="D140" s="2"/>
      <c r="E140" s="2"/>
      <c r="F140" s="2"/>
      <c r="G140" s="2"/>
      <c r="H140" s="2"/>
      <c r="I140" s="28"/>
      <c r="J140" s="2"/>
    </row>
    <row r="141" ht="15" customHeight="1" spans="1:10">
      <c r="A141" s="6"/>
      <c r="B141" s="18" t="str">
        <f t="shared" si="2"/>
        <v/>
      </c>
      <c r="C141" s="2"/>
      <c r="D141" s="2"/>
      <c r="E141" s="2"/>
      <c r="F141" s="2"/>
      <c r="G141" s="2"/>
      <c r="H141" s="2"/>
      <c r="I141" s="28"/>
      <c r="J141" s="2"/>
    </row>
    <row r="142" ht="15" customHeight="1" spans="1:10">
      <c r="A142" s="6"/>
      <c r="B142" s="18" t="str">
        <f t="shared" si="2"/>
        <v/>
      </c>
      <c r="C142" s="2"/>
      <c r="D142" s="2"/>
      <c r="E142" s="2"/>
      <c r="F142" s="2"/>
      <c r="G142" s="2"/>
      <c r="H142" s="2"/>
      <c r="I142" s="28"/>
      <c r="J142" s="2"/>
    </row>
    <row r="143" ht="15" customHeight="1" spans="1:10">
      <c r="A143" s="6"/>
      <c r="B143" s="18" t="str">
        <f t="shared" si="2"/>
        <v/>
      </c>
      <c r="C143" s="2"/>
      <c r="D143" s="2"/>
      <c r="E143" s="2"/>
      <c r="F143" s="2"/>
      <c r="G143" s="2"/>
      <c r="H143" s="2"/>
      <c r="I143" s="28"/>
      <c r="J143" s="2"/>
    </row>
    <row r="144" ht="15" customHeight="1" spans="1:10">
      <c r="A144" s="6"/>
      <c r="B144" s="18" t="str">
        <f t="shared" si="2"/>
        <v/>
      </c>
      <c r="C144" s="2"/>
      <c r="D144" s="2"/>
      <c r="E144" s="2"/>
      <c r="F144" s="2"/>
      <c r="G144" s="2"/>
      <c r="H144" s="2"/>
      <c r="I144" s="28"/>
      <c r="J144" s="2"/>
    </row>
    <row r="145" ht="15" customHeight="1" spans="1:10">
      <c r="A145" s="6"/>
      <c r="B145" s="18" t="str">
        <f t="shared" si="2"/>
        <v/>
      </c>
      <c r="C145" s="2"/>
      <c r="D145" s="2"/>
      <c r="E145" s="2"/>
      <c r="F145" s="2"/>
      <c r="G145" s="2"/>
      <c r="H145" s="2"/>
      <c r="I145" s="28"/>
      <c r="J145" s="2"/>
    </row>
    <row r="146" ht="15" customHeight="1" spans="1:10">
      <c r="A146" s="6"/>
      <c r="B146" s="18" t="str">
        <f t="shared" si="2"/>
        <v/>
      </c>
      <c r="C146" s="2"/>
      <c r="D146" s="2"/>
      <c r="E146" s="2"/>
      <c r="F146" s="2"/>
      <c r="G146" s="2"/>
      <c r="H146" s="2"/>
      <c r="I146" s="28"/>
      <c r="J146" s="2"/>
    </row>
    <row r="147" ht="15" customHeight="1" spans="1:10">
      <c r="A147" s="6"/>
      <c r="B147" s="18" t="str">
        <f t="shared" si="2"/>
        <v/>
      </c>
      <c r="C147" s="2"/>
      <c r="D147" s="2"/>
      <c r="E147" s="2"/>
      <c r="F147" s="2"/>
      <c r="G147" s="2"/>
      <c r="H147" s="2"/>
      <c r="I147" s="28"/>
      <c r="J147" s="2"/>
    </row>
    <row r="148" ht="15" customHeight="1" spans="1:10">
      <c r="A148" s="6"/>
      <c r="B148" s="18" t="str">
        <f t="shared" si="2"/>
        <v/>
      </c>
      <c r="C148" s="2"/>
      <c r="D148" s="2"/>
      <c r="E148" s="2"/>
      <c r="F148" s="2"/>
      <c r="G148" s="2"/>
      <c r="H148" s="2"/>
      <c r="I148" s="28"/>
      <c r="J148" s="2"/>
    </row>
    <row r="149" ht="15" customHeight="1" spans="1:10">
      <c r="A149" s="6"/>
      <c r="B149" s="18" t="str">
        <f t="shared" si="2"/>
        <v/>
      </c>
      <c r="C149" s="2"/>
      <c r="D149" s="2"/>
      <c r="E149" s="2"/>
      <c r="F149" s="2"/>
      <c r="G149" s="2"/>
      <c r="H149" s="2"/>
      <c r="I149" s="28"/>
      <c r="J149" s="2"/>
    </row>
    <row r="150" ht="15" customHeight="1" spans="1:10">
      <c r="A150" s="6"/>
      <c r="B150" s="18" t="str">
        <f t="shared" si="2"/>
        <v/>
      </c>
      <c r="C150" s="2"/>
      <c r="D150" s="2"/>
      <c r="E150" s="2"/>
      <c r="F150" s="2"/>
      <c r="G150" s="2"/>
      <c r="H150" s="2"/>
      <c r="I150" s="28"/>
      <c r="J150" s="2"/>
    </row>
    <row r="151" ht="15" customHeight="1" spans="1:10">
      <c r="A151" s="6"/>
      <c r="B151" s="18" t="str">
        <f t="shared" si="2"/>
        <v/>
      </c>
      <c r="C151" s="2"/>
      <c r="D151" s="2"/>
      <c r="E151" s="2"/>
      <c r="F151" s="2"/>
      <c r="G151" s="2"/>
      <c r="H151" s="2"/>
      <c r="I151" s="28"/>
      <c r="J151" s="2"/>
    </row>
    <row r="152" ht="15" customHeight="1" spans="1:10">
      <c r="A152" s="6"/>
      <c r="B152" s="18" t="str">
        <f t="shared" si="2"/>
        <v/>
      </c>
      <c r="C152" s="2"/>
      <c r="D152" s="2"/>
      <c r="E152" s="2"/>
      <c r="F152" s="2"/>
      <c r="G152" s="2"/>
      <c r="H152" s="2"/>
      <c r="I152" s="28"/>
      <c r="J152" s="2"/>
    </row>
    <row r="153" ht="15" customHeight="1" spans="1:10">
      <c r="A153" s="6"/>
      <c r="B153" s="18" t="str">
        <f t="shared" si="2"/>
        <v/>
      </c>
      <c r="C153" s="2"/>
      <c r="D153" s="2"/>
      <c r="E153" s="2"/>
      <c r="F153" s="2"/>
      <c r="G153" s="2"/>
      <c r="H153" s="2"/>
      <c r="I153" s="28"/>
      <c r="J153" s="2"/>
    </row>
    <row r="154" ht="15" customHeight="1" spans="1:10">
      <c r="A154" s="6"/>
      <c r="B154" s="18" t="str">
        <f t="shared" si="2"/>
        <v/>
      </c>
      <c r="C154" s="2"/>
      <c r="D154" s="2"/>
      <c r="E154" s="2"/>
      <c r="F154" s="2"/>
      <c r="G154" s="2"/>
      <c r="H154" s="2"/>
      <c r="I154" s="28"/>
      <c r="J154" s="2"/>
    </row>
    <row r="155" ht="15" customHeight="1" spans="1:10">
      <c r="A155" s="6"/>
      <c r="B155" s="18" t="str">
        <f t="shared" si="2"/>
        <v/>
      </c>
      <c r="C155" s="2"/>
      <c r="D155" s="2"/>
      <c r="E155" s="2"/>
      <c r="F155" s="2"/>
      <c r="G155" s="2"/>
      <c r="H155" s="2"/>
      <c r="I155" s="28"/>
      <c r="J155" s="2"/>
    </row>
    <row r="156" ht="15" customHeight="1" spans="1:10">
      <c r="A156" s="6"/>
      <c r="B156" s="18" t="str">
        <f t="shared" si="2"/>
        <v/>
      </c>
      <c r="C156" s="2"/>
      <c r="D156" s="2"/>
      <c r="E156" s="2"/>
      <c r="F156" s="2"/>
      <c r="G156" s="2"/>
      <c r="H156" s="2"/>
      <c r="I156" s="28"/>
      <c r="J156" s="2"/>
    </row>
    <row r="157" ht="15" customHeight="1" spans="1:10">
      <c r="A157" s="6"/>
      <c r="B157" s="18" t="str">
        <f t="shared" si="2"/>
        <v/>
      </c>
      <c r="C157" s="2"/>
      <c r="D157" s="2"/>
      <c r="E157" s="2"/>
      <c r="F157" s="2"/>
      <c r="G157" s="2"/>
      <c r="H157" s="2"/>
      <c r="I157" s="28"/>
      <c r="J157" s="2"/>
    </row>
    <row r="158" ht="15" customHeight="1" spans="1:10">
      <c r="A158" s="6"/>
      <c r="B158" s="18" t="str">
        <f t="shared" si="2"/>
        <v/>
      </c>
      <c r="C158" s="2"/>
      <c r="D158" s="2"/>
      <c r="E158" s="2"/>
      <c r="F158" s="2"/>
      <c r="G158" s="2"/>
      <c r="H158" s="2"/>
      <c r="I158" s="28"/>
      <c r="J158" s="2"/>
    </row>
    <row r="159" ht="15" customHeight="1" spans="1:10">
      <c r="A159" s="6"/>
      <c r="B159" s="18" t="str">
        <f t="shared" si="2"/>
        <v/>
      </c>
      <c r="C159" s="2"/>
      <c r="D159" s="2"/>
      <c r="E159" s="2"/>
      <c r="F159" s="2"/>
      <c r="G159" s="2"/>
      <c r="H159" s="2"/>
      <c r="I159" s="28"/>
      <c r="J159" s="2"/>
    </row>
    <row r="160" ht="15" customHeight="1" spans="1:10">
      <c r="A160" s="6"/>
      <c r="B160" s="18" t="str">
        <f t="shared" si="2"/>
        <v/>
      </c>
      <c r="C160" s="2"/>
      <c r="D160" s="2"/>
      <c r="E160" s="2"/>
      <c r="F160" s="2"/>
      <c r="G160" s="2"/>
      <c r="H160" s="2"/>
      <c r="I160" s="28"/>
      <c r="J160" s="2"/>
    </row>
    <row r="161" ht="15" customHeight="1" spans="1:10">
      <c r="A161" s="6"/>
      <c r="B161" s="18" t="str">
        <f t="shared" si="2"/>
        <v/>
      </c>
      <c r="C161" s="2"/>
      <c r="D161" s="2"/>
      <c r="E161" s="2"/>
      <c r="F161" s="2"/>
      <c r="G161" s="2"/>
      <c r="H161" s="2"/>
      <c r="I161" s="28"/>
      <c r="J161" s="2"/>
    </row>
    <row r="162" ht="15" customHeight="1" spans="1:10">
      <c r="A162" s="6"/>
      <c r="B162" s="18" t="str">
        <f t="shared" si="2"/>
        <v/>
      </c>
      <c r="C162" s="2"/>
      <c r="D162" s="2"/>
      <c r="E162" s="2"/>
      <c r="F162" s="2"/>
      <c r="G162" s="2"/>
      <c r="H162" s="2"/>
      <c r="I162" s="28"/>
      <c r="J162" s="2"/>
    </row>
    <row r="163" ht="15" customHeight="1" spans="1:10">
      <c r="A163" s="6"/>
      <c r="B163" s="18" t="str">
        <f t="shared" si="2"/>
        <v/>
      </c>
      <c r="C163" s="2"/>
      <c r="D163" s="2"/>
      <c r="E163" s="2"/>
      <c r="F163" s="2"/>
      <c r="G163" s="2"/>
      <c r="H163" s="2"/>
      <c r="I163" s="28"/>
      <c r="J163" s="2"/>
    </row>
    <row r="164" ht="15" customHeight="1" spans="1:10">
      <c r="A164" s="6"/>
      <c r="B164" s="18" t="str">
        <f t="shared" si="2"/>
        <v/>
      </c>
      <c r="C164" s="2"/>
      <c r="D164" s="2"/>
      <c r="E164" s="2"/>
      <c r="F164" s="2"/>
      <c r="G164" s="2"/>
      <c r="H164" s="2"/>
      <c r="I164" s="28"/>
      <c r="J164" s="2"/>
    </row>
    <row r="165" ht="15" customHeight="1" spans="1:10">
      <c r="A165" s="6"/>
      <c r="B165" s="18" t="str">
        <f t="shared" si="2"/>
        <v/>
      </c>
      <c r="C165" s="2"/>
      <c r="D165" s="2"/>
      <c r="E165" s="2"/>
      <c r="F165" s="2"/>
      <c r="G165" s="2"/>
      <c r="H165" s="2"/>
      <c r="I165" s="28"/>
      <c r="J165" s="2"/>
    </row>
    <row r="166" ht="15" customHeight="1" spans="1:10">
      <c r="A166" s="6"/>
      <c r="B166" s="18" t="str">
        <f t="shared" si="2"/>
        <v/>
      </c>
      <c r="C166" s="2"/>
      <c r="D166" s="2"/>
      <c r="E166" s="2"/>
      <c r="F166" s="2"/>
      <c r="G166" s="2"/>
      <c r="H166" s="2"/>
      <c r="I166" s="28"/>
      <c r="J166" s="2"/>
    </row>
    <row r="167" ht="15" customHeight="1" spans="1:10">
      <c r="A167" s="6"/>
      <c r="B167" s="18" t="str">
        <f t="shared" si="2"/>
        <v/>
      </c>
      <c r="C167" s="2"/>
      <c r="D167" s="2"/>
      <c r="E167" s="2"/>
      <c r="F167" s="2"/>
      <c r="G167" s="2"/>
      <c r="H167" s="2"/>
      <c r="I167" s="28"/>
      <c r="J167" s="2"/>
    </row>
    <row r="168" ht="15" customHeight="1" spans="1:10">
      <c r="A168" s="6"/>
      <c r="B168" s="18" t="str">
        <f t="shared" si="2"/>
        <v/>
      </c>
      <c r="C168" s="2"/>
      <c r="D168" s="2"/>
      <c r="E168" s="2"/>
      <c r="F168" s="2"/>
      <c r="G168" s="2"/>
      <c r="H168" s="2"/>
      <c r="I168" s="28"/>
      <c r="J168" s="2"/>
    </row>
    <row r="169" ht="15" customHeight="1" spans="1:10">
      <c r="A169" s="6"/>
      <c r="B169" s="18" t="str">
        <f t="shared" si="2"/>
        <v/>
      </c>
      <c r="C169" s="2"/>
      <c r="D169" s="2"/>
      <c r="E169" s="2"/>
      <c r="F169" s="2"/>
      <c r="G169" s="2"/>
      <c r="H169" s="2"/>
      <c r="I169" s="28"/>
      <c r="J169" s="2"/>
    </row>
    <row r="170" ht="15" customHeight="1" spans="1:10">
      <c r="A170" s="6"/>
      <c r="B170" s="18" t="str">
        <f t="shared" si="2"/>
        <v/>
      </c>
      <c r="C170" s="2"/>
      <c r="D170" s="2"/>
      <c r="E170" s="2"/>
      <c r="F170" s="2"/>
      <c r="G170" s="2"/>
      <c r="H170" s="2"/>
      <c r="I170" s="28"/>
      <c r="J170" s="2"/>
    </row>
    <row r="171" ht="15" customHeight="1" spans="1:10">
      <c r="A171" s="6"/>
      <c r="B171" s="18" t="str">
        <f t="shared" si="2"/>
        <v/>
      </c>
      <c r="C171" s="2"/>
      <c r="D171" s="2"/>
      <c r="E171" s="2"/>
      <c r="F171" s="2"/>
      <c r="G171" s="2"/>
      <c r="H171" s="2"/>
      <c r="I171" s="28"/>
      <c r="J171" s="2"/>
    </row>
    <row r="172" ht="15" customHeight="1" spans="1:10">
      <c r="A172" s="6"/>
      <c r="B172" s="18" t="str">
        <f t="shared" si="2"/>
        <v/>
      </c>
      <c r="C172" s="2"/>
      <c r="D172" s="2"/>
      <c r="E172" s="2"/>
      <c r="F172" s="2"/>
      <c r="G172" s="2"/>
      <c r="H172" s="2"/>
      <c r="I172" s="28"/>
      <c r="J172" s="2"/>
    </row>
    <row r="173" ht="15" customHeight="1" spans="1:10">
      <c r="A173" s="6"/>
      <c r="B173" s="18" t="str">
        <f t="shared" si="2"/>
        <v/>
      </c>
      <c r="C173" s="2"/>
      <c r="D173" s="2"/>
      <c r="E173" s="2"/>
      <c r="F173" s="2"/>
      <c r="G173" s="2"/>
      <c r="H173" s="2"/>
      <c r="I173" s="28"/>
      <c r="J173" s="2"/>
    </row>
    <row r="174" ht="15" customHeight="1" spans="1:10">
      <c r="A174" s="6"/>
      <c r="B174" s="18" t="str">
        <f t="shared" si="2"/>
        <v/>
      </c>
      <c r="C174" s="2"/>
      <c r="D174" s="2"/>
      <c r="E174" s="2"/>
      <c r="F174" s="2"/>
      <c r="G174" s="2"/>
      <c r="H174" s="2"/>
      <c r="I174" s="28"/>
      <c r="J174" s="2"/>
    </row>
    <row r="175" ht="15" customHeight="1" spans="1:10">
      <c r="A175" s="6"/>
      <c r="B175" s="18" t="str">
        <f t="shared" si="2"/>
        <v/>
      </c>
      <c r="C175" s="2"/>
      <c r="D175" s="2"/>
      <c r="E175" s="2"/>
      <c r="F175" s="2"/>
      <c r="G175" s="2"/>
      <c r="H175" s="2"/>
      <c r="I175" s="28"/>
      <c r="J175" s="2"/>
    </row>
    <row r="176" ht="15" customHeight="1" spans="1:10">
      <c r="A176" s="6"/>
      <c r="B176" s="18" t="str">
        <f t="shared" si="2"/>
        <v/>
      </c>
      <c r="C176" s="2"/>
      <c r="D176" s="2"/>
      <c r="E176" s="2"/>
      <c r="F176" s="2"/>
      <c r="G176" s="2"/>
      <c r="H176" s="2"/>
      <c r="I176" s="28"/>
      <c r="J176" s="2"/>
    </row>
    <row r="177" ht="15" customHeight="1" spans="1:10">
      <c r="A177" s="6"/>
      <c r="B177" s="18" t="str">
        <f t="shared" si="2"/>
        <v/>
      </c>
      <c r="C177" s="2"/>
      <c r="D177" s="2"/>
      <c r="E177" s="2"/>
      <c r="F177" s="2"/>
      <c r="G177" s="2"/>
      <c r="H177" s="2"/>
      <c r="I177" s="28"/>
      <c r="J177" s="2"/>
    </row>
    <row r="178" ht="15" customHeight="1" spans="1:10">
      <c r="A178" s="6"/>
      <c r="B178" s="18" t="str">
        <f t="shared" si="2"/>
        <v/>
      </c>
      <c r="C178" s="2"/>
      <c r="D178" s="2"/>
      <c r="E178" s="2"/>
      <c r="F178" s="2"/>
      <c r="G178" s="2"/>
      <c r="H178" s="2"/>
      <c r="I178" s="28"/>
      <c r="J178" s="2"/>
    </row>
    <row r="179" ht="15" customHeight="1" spans="1:10">
      <c r="A179" s="6"/>
      <c r="B179" s="18" t="str">
        <f t="shared" si="2"/>
        <v/>
      </c>
      <c r="C179" s="2"/>
      <c r="D179" s="2"/>
      <c r="E179" s="2"/>
      <c r="F179" s="2"/>
      <c r="G179" s="2"/>
      <c r="H179" s="2"/>
      <c r="I179" s="28"/>
      <c r="J179" s="2"/>
    </row>
    <row r="180" ht="15" customHeight="1" spans="1:10">
      <c r="A180" s="6"/>
      <c r="B180" s="18" t="str">
        <f t="shared" si="2"/>
        <v/>
      </c>
      <c r="C180" s="2"/>
      <c r="D180" s="2"/>
      <c r="E180" s="2"/>
      <c r="F180" s="2"/>
      <c r="G180" s="2"/>
      <c r="H180" s="2"/>
      <c r="I180" s="28"/>
      <c r="J180" s="2"/>
    </row>
    <row r="181" ht="15" customHeight="1" spans="1:10">
      <c r="A181" s="6"/>
      <c r="B181" s="18" t="str">
        <f t="shared" si="2"/>
        <v/>
      </c>
      <c r="C181" s="2"/>
      <c r="D181" s="2"/>
      <c r="E181" s="2"/>
      <c r="F181" s="2"/>
      <c r="G181" s="2"/>
      <c r="H181" s="2"/>
      <c r="I181" s="28"/>
      <c r="J181" s="2"/>
    </row>
    <row r="182" ht="15" customHeight="1" spans="1:10">
      <c r="A182" s="6"/>
      <c r="B182" s="18" t="str">
        <f t="shared" si="2"/>
        <v/>
      </c>
      <c r="C182" s="2"/>
      <c r="D182" s="2"/>
      <c r="E182" s="2"/>
      <c r="F182" s="2"/>
      <c r="G182" s="2"/>
      <c r="H182" s="2"/>
      <c r="I182" s="28"/>
      <c r="J182" s="2"/>
    </row>
    <row r="183" ht="15" customHeight="1" spans="1:10">
      <c r="A183" s="6"/>
      <c r="B183" s="18" t="str">
        <f t="shared" si="2"/>
        <v/>
      </c>
      <c r="C183" s="2"/>
      <c r="D183" s="2"/>
      <c r="E183" s="2"/>
      <c r="F183" s="2"/>
      <c r="G183" s="2"/>
      <c r="H183" s="2"/>
      <c r="I183" s="28"/>
      <c r="J183" s="2"/>
    </row>
    <row r="184" ht="15" customHeight="1" spans="1:10">
      <c r="A184" s="6"/>
      <c r="B184" s="18" t="str">
        <f t="shared" si="2"/>
        <v/>
      </c>
      <c r="C184" s="2"/>
      <c r="D184" s="2"/>
      <c r="E184" s="2"/>
      <c r="F184" s="2"/>
      <c r="G184" s="2"/>
      <c r="H184" s="2"/>
      <c r="I184" s="28"/>
      <c r="J184" s="2"/>
    </row>
    <row r="185" ht="15" customHeight="1" spans="1:10">
      <c r="A185" s="6"/>
      <c r="B185" s="18" t="str">
        <f t="shared" si="2"/>
        <v/>
      </c>
      <c r="C185" s="2"/>
      <c r="D185" s="2"/>
      <c r="E185" s="2"/>
      <c r="F185" s="2"/>
      <c r="G185" s="2"/>
      <c r="H185" s="2"/>
      <c r="I185" s="28"/>
      <c r="J185" s="2"/>
    </row>
    <row r="186" ht="15" customHeight="1" spans="1:10">
      <c r="A186" s="6"/>
      <c r="B186" s="18" t="str">
        <f t="shared" si="2"/>
        <v/>
      </c>
      <c r="C186" s="2"/>
      <c r="D186" s="2"/>
      <c r="E186" s="2"/>
      <c r="F186" s="2"/>
      <c r="G186" s="2"/>
      <c r="H186" s="2"/>
      <c r="I186" s="28"/>
      <c r="J186" s="2"/>
    </row>
    <row r="187" ht="15" customHeight="1" spans="1:10">
      <c r="A187" s="6"/>
      <c r="B187" s="18" t="str">
        <f t="shared" si="2"/>
        <v/>
      </c>
      <c r="C187" s="2"/>
      <c r="D187" s="2"/>
      <c r="E187" s="2"/>
      <c r="F187" s="2"/>
      <c r="G187" s="2"/>
      <c r="H187" s="2"/>
      <c r="I187" s="28"/>
      <c r="J187" s="2"/>
    </row>
    <row r="188" ht="15" customHeight="1" spans="1:10">
      <c r="A188" s="6"/>
      <c r="B188" s="18" t="str">
        <f t="shared" si="2"/>
        <v/>
      </c>
      <c r="C188" s="2"/>
      <c r="D188" s="2"/>
      <c r="E188" s="2"/>
      <c r="F188" s="2"/>
      <c r="G188" s="2"/>
      <c r="H188" s="2"/>
      <c r="I188" s="28"/>
      <c r="J188" s="2"/>
    </row>
    <row r="189" ht="15" customHeight="1" spans="1:10">
      <c r="A189" s="6"/>
      <c r="B189" s="18" t="str">
        <f t="shared" si="2"/>
        <v/>
      </c>
      <c r="C189" s="2"/>
      <c r="D189" s="2"/>
      <c r="E189" s="2"/>
      <c r="F189" s="2"/>
      <c r="G189" s="2"/>
      <c r="H189" s="2"/>
      <c r="I189" s="28"/>
      <c r="J189" s="2"/>
    </row>
    <row r="190" ht="15" customHeight="1" spans="1:10">
      <c r="A190" s="6"/>
      <c r="B190" s="18" t="str">
        <f t="shared" si="2"/>
        <v/>
      </c>
      <c r="C190" s="2"/>
      <c r="D190" s="2"/>
      <c r="E190" s="2"/>
      <c r="F190" s="2"/>
      <c r="G190" s="2"/>
      <c r="H190" s="2"/>
      <c r="I190" s="28"/>
      <c r="J190" s="2"/>
    </row>
    <row r="191" ht="15" customHeight="1" spans="1:10">
      <c r="A191" s="6"/>
      <c r="B191" s="18" t="str">
        <f t="shared" si="2"/>
        <v/>
      </c>
      <c r="C191" s="2"/>
      <c r="D191" s="2"/>
      <c r="E191" s="2"/>
      <c r="F191" s="2"/>
      <c r="G191" s="2"/>
      <c r="H191" s="2"/>
      <c r="I191" s="28"/>
      <c r="J191" s="2"/>
    </row>
    <row r="192" ht="15" customHeight="1" spans="1:10">
      <c r="A192" s="6"/>
      <c r="B192" s="18" t="str">
        <f t="shared" si="2"/>
        <v/>
      </c>
      <c r="C192" s="2"/>
      <c r="D192" s="2"/>
      <c r="E192" s="2"/>
      <c r="F192" s="2"/>
      <c r="G192" s="2"/>
      <c r="H192" s="2"/>
      <c r="I192" s="28"/>
      <c r="J192" s="2"/>
    </row>
    <row r="193" ht="15" customHeight="1" spans="1:10">
      <c r="A193" s="6"/>
      <c r="B193" s="18" t="str">
        <f t="shared" si="2"/>
        <v/>
      </c>
      <c r="C193" s="2"/>
      <c r="D193" s="2"/>
      <c r="E193" s="2"/>
      <c r="F193" s="2"/>
      <c r="G193" s="2"/>
      <c r="H193" s="2"/>
      <c r="I193" s="28"/>
      <c r="J193" s="2"/>
    </row>
    <row r="194" ht="15" customHeight="1" spans="1:10">
      <c r="A194" s="6"/>
      <c r="B194" s="18" t="str">
        <f t="shared" si="2"/>
        <v/>
      </c>
      <c r="C194" s="2"/>
      <c r="D194" s="2"/>
      <c r="E194" s="2"/>
      <c r="F194" s="2"/>
      <c r="G194" s="2"/>
      <c r="H194" s="2"/>
      <c r="I194" s="28"/>
      <c r="J194" s="2"/>
    </row>
    <row r="195" ht="15" customHeight="1" spans="1:10">
      <c r="A195" s="6"/>
      <c r="B195" s="18" t="str">
        <f t="shared" si="2"/>
        <v/>
      </c>
      <c r="C195" s="2"/>
      <c r="D195" s="2"/>
      <c r="E195" s="2"/>
      <c r="F195" s="2"/>
      <c r="G195" s="2"/>
      <c r="H195" s="2"/>
      <c r="I195" s="28"/>
      <c r="J195" s="2"/>
    </row>
    <row r="196" ht="15" customHeight="1" spans="1:10">
      <c r="A196" s="6"/>
      <c r="B196" s="18" t="str">
        <f t="shared" ref="B196:B259" si="3">IF(A196="","",DATE(YEAR(A196),MONTH(A196),1))</f>
        <v/>
      </c>
      <c r="C196" s="2"/>
      <c r="D196" s="2"/>
      <c r="E196" s="2"/>
      <c r="F196" s="2"/>
      <c r="G196" s="2"/>
      <c r="H196" s="2"/>
      <c r="I196" s="28"/>
      <c r="J196" s="2"/>
    </row>
    <row r="197" ht="15" customHeight="1" spans="1:10">
      <c r="A197" s="6"/>
      <c r="B197" s="18" t="str">
        <f t="shared" si="3"/>
        <v/>
      </c>
      <c r="C197" s="2"/>
      <c r="D197" s="2"/>
      <c r="E197" s="2"/>
      <c r="F197" s="2"/>
      <c r="G197" s="2"/>
      <c r="H197" s="2"/>
      <c r="I197" s="28"/>
      <c r="J197" s="2"/>
    </row>
    <row r="198" ht="15" customHeight="1" spans="1:10">
      <c r="A198" s="6"/>
      <c r="B198" s="18" t="str">
        <f t="shared" si="3"/>
        <v/>
      </c>
      <c r="C198" s="2"/>
      <c r="D198" s="2"/>
      <c r="E198" s="2"/>
      <c r="F198" s="2"/>
      <c r="G198" s="2"/>
      <c r="H198" s="2"/>
      <c r="I198" s="28"/>
      <c r="J198" s="2"/>
    </row>
    <row r="199" ht="15" customHeight="1" spans="1:10">
      <c r="A199" s="6"/>
      <c r="B199" s="18" t="str">
        <f t="shared" si="3"/>
        <v/>
      </c>
      <c r="C199" s="2"/>
      <c r="D199" s="2"/>
      <c r="E199" s="2"/>
      <c r="F199" s="2"/>
      <c r="G199" s="2"/>
      <c r="H199" s="2"/>
      <c r="I199" s="28"/>
      <c r="J199" s="2"/>
    </row>
    <row r="200" ht="15" customHeight="1" spans="1:10">
      <c r="A200" s="6"/>
      <c r="B200" s="18" t="str">
        <f t="shared" si="3"/>
        <v/>
      </c>
      <c r="C200" s="2"/>
      <c r="D200" s="2"/>
      <c r="E200" s="2"/>
      <c r="F200" s="2"/>
      <c r="G200" s="2"/>
      <c r="H200" s="2"/>
      <c r="I200" s="28"/>
      <c r="J200" s="2"/>
    </row>
    <row r="201" ht="15" customHeight="1" spans="1:10">
      <c r="A201" s="6"/>
      <c r="B201" s="18" t="str">
        <f t="shared" si="3"/>
        <v/>
      </c>
      <c r="C201" s="2"/>
      <c r="D201" s="2"/>
      <c r="E201" s="2"/>
      <c r="F201" s="2"/>
      <c r="G201" s="2"/>
      <c r="H201" s="2"/>
      <c r="I201" s="28"/>
      <c r="J201" s="2"/>
    </row>
    <row r="202" ht="15" customHeight="1" spans="1:10">
      <c r="A202" s="6"/>
      <c r="B202" s="18" t="str">
        <f t="shared" si="3"/>
        <v/>
      </c>
      <c r="C202" s="2"/>
      <c r="D202" s="2"/>
      <c r="E202" s="2"/>
      <c r="F202" s="2"/>
      <c r="G202" s="2"/>
      <c r="H202" s="2"/>
      <c r="I202" s="28"/>
      <c r="J202" s="2"/>
    </row>
    <row r="203" ht="15" customHeight="1" spans="1:10">
      <c r="A203" s="6"/>
      <c r="B203" s="18" t="str">
        <f t="shared" si="3"/>
        <v/>
      </c>
      <c r="C203" s="2"/>
      <c r="D203" s="2"/>
      <c r="E203" s="2"/>
      <c r="F203" s="2"/>
      <c r="G203" s="2"/>
      <c r="H203" s="2"/>
      <c r="I203" s="28"/>
      <c r="J203" s="2"/>
    </row>
    <row r="204" ht="15" customHeight="1" spans="1:10">
      <c r="A204" s="6"/>
      <c r="B204" s="18" t="str">
        <f t="shared" si="3"/>
        <v/>
      </c>
      <c r="C204" s="2"/>
      <c r="D204" s="2"/>
      <c r="E204" s="2"/>
      <c r="F204" s="2"/>
      <c r="G204" s="2"/>
      <c r="H204" s="2"/>
      <c r="I204" s="28"/>
      <c r="J204" s="2"/>
    </row>
    <row r="205" ht="15" customHeight="1" spans="1:10">
      <c r="A205" s="6"/>
      <c r="B205" s="18" t="str">
        <f t="shared" si="3"/>
        <v/>
      </c>
      <c r="C205" s="2"/>
      <c r="D205" s="2"/>
      <c r="E205" s="2"/>
      <c r="F205" s="2"/>
      <c r="G205" s="2"/>
      <c r="H205" s="2"/>
      <c r="I205" s="28"/>
      <c r="J205" s="2"/>
    </row>
    <row r="206" ht="15" customHeight="1" spans="1:10">
      <c r="A206" s="6"/>
      <c r="B206" s="18" t="str">
        <f t="shared" si="3"/>
        <v/>
      </c>
      <c r="C206" s="2"/>
      <c r="D206" s="2"/>
      <c r="E206" s="2"/>
      <c r="F206" s="2"/>
      <c r="G206" s="2"/>
      <c r="H206" s="2"/>
      <c r="I206" s="28"/>
      <c r="J206" s="2"/>
    </row>
    <row r="207" ht="15" customHeight="1" spans="1:10">
      <c r="A207" s="6"/>
      <c r="B207" s="18" t="str">
        <f t="shared" si="3"/>
        <v/>
      </c>
      <c r="C207" s="2"/>
      <c r="D207" s="2"/>
      <c r="E207" s="2"/>
      <c r="F207" s="2"/>
      <c r="G207" s="2"/>
      <c r="H207" s="2"/>
      <c r="I207" s="28"/>
      <c r="J207" s="2"/>
    </row>
    <row r="208" ht="15" customHeight="1" spans="1:10">
      <c r="A208" s="6"/>
      <c r="B208" s="18" t="str">
        <f t="shared" si="3"/>
        <v/>
      </c>
      <c r="C208" s="2"/>
      <c r="D208" s="2"/>
      <c r="E208" s="2"/>
      <c r="F208" s="2"/>
      <c r="G208" s="2"/>
      <c r="H208" s="2"/>
      <c r="I208" s="28"/>
      <c r="J208" s="2"/>
    </row>
    <row r="209" ht="15" customHeight="1" spans="1:10">
      <c r="A209" s="6"/>
      <c r="B209" s="18" t="str">
        <f t="shared" si="3"/>
        <v/>
      </c>
      <c r="C209" s="2"/>
      <c r="D209" s="2"/>
      <c r="E209" s="2"/>
      <c r="F209" s="2"/>
      <c r="G209" s="2"/>
      <c r="H209" s="2"/>
      <c r="I209" s="28"/>
      <c r="J209" s="2"/>
    </row>
    <row r="210" ht="15" customHeight="1" spans="1:10">
      <c r="A210" s="6"/>
      <c r="B210" s="18" t="str">
        <f t="shared" si="3"/>
        <v/>
      </c>
      <c r="C210" s="2"/>
      <c r="D210" s="2"/>
      <c r="E210" s="2"/>
      <c r="F210" s="2"/>
      <c r="G210" s="2"/>
      <c r="H210" s="2"/>
      <c r="I210" s="28"/>
      <c r="J210" s="2"/>
    </row>
    <row r="211" ht="15" customHeight="1" spans="1:10">
      <c r="A211" s="6"/>
      <c r="B211" s="18" t="str">
        <f t="shared" si="3"/>
        <v/>
      </c>
      <c r="C211" s="2"/>
      <c r="D211" s="2"/>
      <c r="E211" s="2"/>
      <c r="F211" s="2"/>
      <c r="G211" s="2"/>
      <c r="H211" s="2"/>
      <c r="I211" s="28"/>
      <c r="J211" s="2"/>
    </row>
    <row r="212" ht="15" customHeight="1" spans="1:10">
      <c r="A212" s="6"/>
      <c r="B212" s="18" t="str">
        <f t="shared" si="3"/>
        <v/>
      </c>
      <c r="C212" s="2"/>
      <c r="D212" s="2"/>
      <c r="E212" s="2"/>
      <c r="F212" s="2"/>
      <c r="G212" s="2"/>
      <c r="H212" s="2"/>
      <c r="I212" s="28"/>
      <c r="J212" s="2"/>
    </row>
    <row r="213" ht="15" customHeight="1" spans="1:10">
      <c r="A213" s="6"/>
      <c r="B213" s="18" t="str">
        <f t="shared" si="3"/>
        <v/>
      </c>
      <c r="C213" s="2"/>
      <c r="D213" s="2"/>
      <c r="E213" s="2"/>
      <c r="F213" s="2"/>
      <c r="G213" s="2"/>
      <c r="H213" s="2"/>
      <c r="I213" s="28"/>
      <c r="J213" s="2"/>
    </row>
    <row r="214" ht="15" customHeight="1" spans="1:10">
      <c r="A214" s="6"/>
      <c r="B214" s="18" t="str">
        <f t="shared" si="3"/>
        <v/>
      </c>
      <c r="C214" s="2"/>
      <c r="D214" s="2"/>
      <c r="E214" s="2"/>
      <c r="F214" s="2"/>
      <c r="G214" s="2"/>
      <c r="H214" s="2"/>
      <c r="I214" s="28"/>
      <c r="J214" s="2"/>
    </row>
    <row r="215" ht="15" customHeight="1" spans="1:10">
      <c r="A215" s="6"/>
      <c r="B215" s="18" t="str">
        <f t="shared" si="3"/>
        <v/>
      </c>
      <c r="C215" s="2"/>
      <c r="D215" s="2"/>
      <c r="E215" s="2"/>
      <c r="F215" s="2"/>
      <c r="G215" s="2"/>
      <c r="H215" s="2"/>
      <c r="I215" s="28"/>
      <c r="J215" s="2"/>
    </row>
    <row r="216" ht="15" customHeight="1" spans="1:10">
      <c r="A216" s="6"/>
      <c r="B216" s="18" t="str">
        <f t="shared" si="3"/>
        <v/>
      </c>
      <c r="C216" s="2"/>
      <c r="D216" s="2"/>
      <c r="E216" s="2"/>
      <c r="F216" s="2"/>
      <c r="G216" s="2"/>
      <c r="H216" s="2"/>
      <c r="I216" s="28"/>
      <c r="J216" s="2"/>
    </row>
    <row r="217" ht="15" customHeight="1" spans="1:10">
      <c r="A217" s="6"/>
      <c r="B217" s="18" t="str">
        <f t="shared" si="3"/>
        <v/>
      </c>
      <c r="C217" s="2"/>
      <c r="D217" s="2"/>
      <c r="E217" s="2"/>
      <c r="F217" s="2"/>
      <c r="G217" s="2"/>
      <c r="H217" s="2"/>
      <c r="I217" s="28"/>
      <c r="J217" s="2"/>
    </row>
    <row r="218" ht="15" customHeight="1" spans="1:10">
      <c r="A218" s="6"/>
      <c r="B218" s="18" t="str">
        <f t="shared" si="3"/>
        <v/>
      </c>
      <c r="C218" s="2"/>
      <c r="D218" s="2"/>
      <c r="E218" s="2"/>
      <c r="F218" s="2"/>
      <c r="G218" s="2"/>
      <c r="H218" s="2"/>
      <c r="I218" s="28"/>
      <c r="J218" s="2"/>
    </row>
    <row r="219" ht="15" customHeight="1" spans="1:10">
      <c r="A219" s="6"/>
      <c r="B219" s="18" t="str">
        <f t="shared" si="3"/>
        <v/>
      </c>
      <c r="C219" s="2"/>
      <c r="D219" s="2"/>
      <c r="E219" s="2"/>
      <c r="F219" s="2"/>
      <c r="G219" s="2"/>
      <c r="H219" s="2"/>
      <c r="I219" s="28"/>
      <c r="J219" s="2"/>
    </row>
    <row r="220" ht="15" customHeight="1" spans="1:10">
      <c r="A220" s="6"/>
      <c r="B220" s="18" t="str">
        <f t="shared" si="3"/>
        <v/>
      </c>
      <c r="C220" s="2"/>
      <c r="D220" s="2"/>
      <c r="E220" s="2"/>
      <c r="F220" s="2"/>
      <c r="G220" s="2"/>
      <c r="H220" s="2"/>
      <c r="I220" s="28"/>
      <c r="J220" s="2"/>
    </row>
    <row r="221" ht="15" customHeight="1" spans="1:10">
      <c r="A221" s="6"/>
      <c r="B221" s="18" t="str">
        <f t="shared" si="3"/>
        <v/>
      </c>
      <c r="C221" s="2"/>
      <c r="D221" s="2"/>
      <c r="E221" s="2"/>
      <c r="F221" s="2"/>
      <c r="G221" s="2"/>
      <c r="H221" s="2"/>
      <c r="I221" s="28"/>
      <c r="J221" s="2"/>
    </row>
    <row r="222" ht="15" customHeight="1" spans="1:10">
      <c r="A222" s="6"/>
      <c r="B222" s="18" t="str">
        <f t="shared" si="3"/>
        <v/>
      </c>
      <c r="C222" s="2"/>
      <c r="D222" s="2"/>
      <c r="E222" s="2"/>
      <c r="F222" s="2"/>
      <c r="G222" s="2"/>
      <c r="H222" s="2"/>
      <c r="I222" s="28"/>
      <c r="J222" s="2"/>
    </row>
    <row r="223" ht="15" customHeight="1" spans="1:10">
      <c r="A223" s="6"/>
      <c r="B223" s="18" t="str">
        <f t="shared" si="3"/>
        <v/>
      </c>
      <c r="C223" s="2"/>
      <c r="D223" s="2"/>
      <c r="E223" s="2"/>
      <c r="F223" s="2"/>
      <c r="G223" s="2"/>
      <c r="H223" s="2"/>
      <c r="I223" s="28"/>
      <c r="J223" s="2"/>
    </row>
    <row r="224" ht="15" customHeight="1" spans="1:10">
      <c r="A224" s="6"/>
      <c r="B224" s="18" t="str">
        <f t="shared" si="3"/>
        <v/>
      </c>
      <c r="C224" s="2"/>
      <c r="D224" s="2"/>
      <c r="E224" s="2"/>
      <c r="F224" s="2"/>
      <c r="G224" s="2"/>
      <c r="H224" s="2"/>
      <c r="I224" s="28"/>
      <c r="J224" s="2"/>
    </row>
    <row r="225" ht="15" customHeight="1" spans="1:10">
      <c r="A225" s="6"/>
      <c r="B225" s="18" t="str">
        <f t="shared" si="3"/>
        <v/>
      </c>
      <c r="C225" s="2"/>
      <c r="D225" s="2"/>
      <c r="E225" s="2"/>
      <c r="F225" s="2"/>
      <c r="G225" s="2"/>
      <c r="H225" s="2"/>
      <c r="I225" s="28"/>
      <c r="J225" s="2"/>
    </row>
    <row r="226" ht="15" customHeight="1" spans="1:10">
      <c r="A226" s="6"/>
      <c r="B226" s="18" t="str">
        <f t="shared" si="3"/>
        <v/>
      </c>
      <c r="C226" s="2"/>
      <c r="D226" s="2"/>
      <c r="E226" s="2"/>
      <c r="F226" s="2"/>
      <c r="G226" s="2"/>
      <c r="H226" s="2"/>
      <c r="I226" s="28"/>
      <c r="J226" s="2"/>
    </row>
    <row r="227" ht="15" customHeight="1" spans="1:10">
      <c r="A227" s="6"/>
      <c r="B227" s="18" t="str">
        <f t="shared" si="3"/>
        <v/>
      </c>
      <c r="C227" s="2"/>
      <c r="D227" s="2"/>
      <c r="E227" s="2"/>
      <c r="F227" s="2"/>
      <c r="G227" s="2"/>
      <c r="H227" s="2"/>
      <c r="I227" s="28"/>
      <c r="J227" s="2"/>
    </row>
    <row r="228" ht="15" customHeight="1" spans="1:10">
      <c r="A228" s="6"/>
      <c r="B228" s="18" t="str">
        <f t="shared" si="3"/>
        <v/>
      </c>
      <c r="C228" s="2"/>
      <c r="D228" s="2"/>
      <c r="E228" s="2"/>
      <c r="F228" s="2"/>
      <c r="G228" s="2"/>
      <c r="H228" s="2"/>
      <c r="I228" s="28"/>
      <c r="J228" s="2"/>
    </row>
    <row r="229" ht="15" customHeight="1" spans="1:10">
      <c r="A229" s="6"/>
      <c r="B229" s="18" t="str">
        <f t="shared" si="3"/>
        <v/>
      </c>
      <c r="C229" s="2"/>
      <c r="D229" s="2"/>
      <c r="E229" s="2"/>
      <c r="F229" s="2"/>
      <c r="G229" s="2"/>
      <c r="H229" s="2"/>
      <c r="I229" s="28"/>
      <c r="J229" s="2"/>
    </row>
    <row r="230" ht="15" customHeight="1" spans="1:10">
      <c r="A230" s="6"/>
      <c r="B230" s="18" t="str">
        <f t="shared" si="3"/>
        <v/>
      </c>
      <c r="C230" s="2"/>
      <c r="D230" s="2"/>
      <c r="E230" s="2"/>
      <c r="F230" s="2"/>
      <c r="G230" s="2"/>
      <c r="H230" s="2"/>
      <c r="I230" s="28"/>
      <c r="J230" s="2"/>
    </row>
    <row r="231" ht="15" customHeight="1" spans="1:10">
      <c r="A231" s="6"/>
      <c r="B231" s="18" t="str">
        <f t="shared" si="3"/>
        <v/>
      </c>
      <c r="C231" s="2"/>
      <c r="D231" s="2"/>
      <c r="E231" s="2"/>
      <c r="F231" s="2"/>
      <c r="G231" s="2"/>
      <c r="H231" s="2"/>
      <c r="I231" s="28"/>
      <c r="J231" s="2"/>
    </row>
    <row r="232" ht="15" customHeight="1" spans="1:10">
      <c r="A232" s="6"/>
      <c r="B232" s="18" t="str">
        <f t="shared" si="3"/>
        <v/>
      </c>
      <c r="C232" s="2"/>
      <c r="D232" s="2"/>
      <c r="E232" s="2"/>
      <c r="F232" s="2"/>
      <c r="G232" s="2"/>
      <c r="H232" s="2"/>
      <c r="I232" s="28"/>
      <c r="J232" s="2"/>
    </row>
    <row r="233" ht="15" customHeight="1" spans="1:10">
      <c r="A233" s="6"/>
      <c r="B233" s="18" t="str">
        <f t="shared" si="3"/>
        <v/>
      </c>
      <c r="C233" s="2"/>
      <c r="D233" s="2"/>
      <c r="E233" s="2"/>
      <c r="F233" s="2"/>
      <c r="G233" s="2"/>
      <c r="H233" s="2"/>
      <c r="I233" s="28"/>
      <c r="J233" s="2"/>
    </row>
    <row r="234" ht="15" customHeight="1" spans="1:10">
      <c r="A234" s="6"/>
      <c r="B234" s="18" t="str">
        <f t="shared" si="3"/>
        <v/>
      </c>
      <c r="C234" s="2"/>
      <c r="D234" s="2"/>
      <c r="E234" s="2"/>
      <c r="F234" s="2"/>
      <c r="G234" s="2"/>
      <c r="H234" s="2"/>
      <c r="I234" s="28"/>
      <c r="J234" s="2"/>
    </row>
    <row r="235" ht="15" customHeight="1" spans="1:10">
      <c r="A235" s="6"/>
      <c r="B235" s="18" t="str">
        <f t="shared" si="3"/>
        <v/>
      </c>
      <c r="C235" s="2"/>
      <c r="D235" s="2"/>
      <c r="E235" s="2"/>
      <c r="F235" s="2"/>
      <c r="G235" s="2"/>
      <c r="H235" s="2"/>
      <c r="I235" s="28"/>
      <c r="J235" s="2"/>
    </row>
    <row r="236" ht="15" customHeight="1" spans="1:10">
      <c r="A236" s="6"/>
      <c r="B236" s="18" t="str">
        <f t="shared" si="3"/>
        <v/>
      </c>
      <c r="C236" s="2"/>
      <c r="D236" s="2"/>
      <c r="E236" s="2"/>
      <c r="F236" s="2"/>
      <c r="G236" s="2"/>
      <c r="H236" s="2"/>
      <c r="I236" s="28"/>
      <c r="J236" s="2"/>
    </row>
    <row r="237" ht="15" customHeight="1" spans="1:10">
      <c r="A237" s="6"/>
      <c r="B237" s="18" t="str">
        <f t="shared" si="3"/>
        <v/>
      </c>
      <c r="C237" s="2"/>
      <c r="D237" s="2"/>
      <c r="E237" s="2"/>
      <c r="F237" s="2"/>
      <c r="G237" s="2"/>
      <c r="H237" s="2"/>
      <c r="I237" s="28"/>
      <c r="J237" s="2"/>
    </row>
    <row r="238" ht="15" customHeight="1" spans="1:10">
      <c r="A238" s="6"/>
      <c r="B238" s="18" t="str">
        <f t="shared" si="3"/>
        <v/>
      </c>
      <c r="C238" s="2"/>
      <c r="D238" s="2"/>
      <c r="E238" s="2"/>
      <c r="F238" s="2"/>
      <c r="G238" s="2"/>
      <c r="H238" s="2"/>
      <c r="I238" s="28"/>
      <c r="J238" s="2"/>
    </row>
    <row r="239" ht="15" customHeight="1" spans="1:10">
      <c r="A239" s="6"/>
      <c r="B239" s="18" t="str">
        <f t="shared" si="3"/>
        <v/>
      </c>
      <c r="C239" s="2"/>
      <c r="D239" s="2"/>
      <c r="E239" s="2"/>
      <c r="F239" s="2"/>
      <c r="G239" s="2"/>
      <c r="H239" s="2"/>
      <c r="I239" s="28"/>
      <c r="J239" s="2"/>
    </row>
    <row r="240" ht="15" customHeight="1" spans="1:10">
      <c r="A240" s="6"/>
      <c r="B240" s="18" t="str">
        <f t="shared" si="3"/>
        <v/>
      </c>
      <c r="C240" s="2"/>
      <c r="D240" s="2"/>
      <c r="E240" s="2"/>
      <c r="F240" s="2"/>
      <c r="G240" s="2"/>
      <c r="H240" s="2"/>
      <c r="I240" s="28"/>
      <c r="J240" s="2"/>
    </row>
    <row r="241" ht="15" customHeight="1" spans="1:10">
      <c r="A241" s="6"/>
      <c r="B241" s="18" t="str">
        <f t="shared" si="3"/>
        <v/>
      </c>
      <c r="C241" s="2"/>
      <c r="D241" s="2"/>
      <c r="E241" s="2"/>
      <c r="F241" s="2"/>
      <c r="G241" s="2"/>
      <c r="H241" s="2"/>
      <c r="I241" s="28"/>
      <c r="J241" s="2"/>
    </row>
    <row r="242" ht="15" customHeight="1" spans="1:10">
      <c r="A242" s="6"/>
      <c r="B242" s="18" t="str">
        <f t="shared" si="3"/>
        <v/>
      </c>
      <c r="C242" s="2"/>
      <c r="D242" s="2"/>
      <c r="E242" s="2"/>
      <c r="F242" s="2"/>
      <c r="G242" s="2"/>
      <c r="H242" s="2"/>
      <c r="I242" s="28"/>
      <c r="J242" s="2"/>
    </row>
    <row r="243" ht="15" customHeight="1" spans="1:10">
      <c r="A243" s="6"/>
      <c r="B243" s="18" t="str">
        <f t="shared" si="3"/>
        <v/>
      </c>
      <c r="C243" s="2"/>
      <c r="D243" s="2"/>
      <c r="E243" s="2"/>
      <c r="F243" s="2"/>
      <c r="G243" s="2"/>
      <c r="H243" s="2"/>
      <c r="I243" s="28"/>
      <c r="J243" s="2"/>
    </row>
    <row r="244" ht="15" customHeight="1" spans="1:10">
      <c r="A244" s="6"/>
      <c r="B244" s="18" t="str">
        <f t="shared" si="3"/>
        <v/>
      </c>
      <c r="C244" s="2"/>
      <c r="D244" s="2"/>
      <c r="E244" s="2"/>
      <c r="F244" s="2"/>
      <c r="G244" s="2"/>
      <c r="H244" s="2"/>
      <c r="I244" s="28"/>
      <c r="J244" s="2"/>
    </row>
    <row r="245" ht="15" customHeight="1" spans="1:10">
      <c r="A245" s="6"/>
      <c r="B245" s="18" t="str">
        <f t="shared" si="3"/>
        <v/>
      </c>
      <c r="C245" s="2"/>
      <c r="D245" s="2"/>
      <c r="E245" s="2"/>
      <c r="F245" s="2"/>
      <c r="G245" s="2"/>
      <c r="H245" s="2"/>
      <c r="I245" s="28"/>
      <c r="J245" s="2"/>
    </row>
    <row r="246" ht="15" customHeight="1" spans="1:10">
      <c r="A246" s="6"/>
      <c r="B246" s="18" t="str">
        <f t="shared" si="3"/>
        <v/>
      </c>
      <c r="C246" s="2"/>
      <c r="D246" s="2"/>
      <c r="E246" s="2"/>
      <c r="F246" s="2"/>
      <c r="G246" s="2"/>
      <c r="H246" s="2"/>
      <c r="I246" s="28"/>
      <c r="J246" s="2"/>
    </row>
    <row r="247" ht="15" customHeight="1" spans="1:10">
      <c r="A247" s="6"/>
      <c r="B247" s="18" t="str">
        <f t="shared" si="3"/>
        <v/>
      </c>
      <c r="C247" s="2"/>
      <c r="D247" s="2"/>
      <c r="E247" s="2"/>
      <c r="F247" s="2"/>
      <c r="G247" s="2"/>
      <c r="H247" s="2"/>
      <c r="I247" s="28"/>
      <c r="J247" s="2"/>
    </row>
    <row r="248" ht="15" customHeight="1" spans="1:10">
      <c r="A248" s="6"/>
      <c r="B248" s="18" t="str">
        <f t="shared" si="3"/>
        <v/>
      </c>
      <c r="C248" s="2"/>
      <c r="D248" s="2"/>
      <c r="E248" s="2"/>
      <c r="F248" s="2"/>
      <c r="G248" s="2"/>
      <c r="H248" s="2"/>
      <c r="I248" s="28"/>
      <c r="J248" s="2"/>
    </row>
    <row r="249" ht="15" customHeight="1" spans="1:10">
      <c r="A249" s="6"/>
      <c r="B249" s="18" t="str">
        <f t="shared" si="3"/>
        <v/>
      </c>
      <c r="C249" s="2"/>
      <c r="D249" s="2"/>
      <c r="E249" s="2"/>
      <c r="F249" s="2"/>
      <c r="G249" s="2"/>
      <c r="H249" s="2"/>
      <c r="I249" s="28"/>
      <c r="J249" s="2"/>
    </row>
    <row r="250" ht="15" customHeight="1" spans="1:10">
      <c r="A250" s="6"/>
      <c r="B250" s="18" t="str">
        <f t="shared" si="3"/>
        <v/>
      </c>
      <c r="C250" s="2"/>
      <c r="D250" s="2"/>
      <c r="E250" s="2"/>
      <c r="F250" s="2"/>
      <c r="G250" s="2"/>
      <c r="H250" s="2"/>
      <c r="I250" s="28"/>
      <c r="J250" s="2"/>
    </row>
    <row r="251" ht="15" customHeight="1" spans="1:10">
      <c r="A251" s="6"/>
      <c r="B251" s="18" t="str">
        <f t="shared" si="3"/>
        <v/>
      </c>
      <c r="C251" s="2"/>
      <c r="D251" s="2"/>
      <c r="E251" s="2"/>
      <c r="F251" s="2"/>
      <c r="G251" s="2"/>
      <c r="H251" s="2"/>
      <c r="I251" s="28"/>
      <c r="J251" s="2"/>
    </row>
    <row r="252" ht="15" customHeight="1" spans="1:10">
      <c r="A252" s="6"/>
      <c r="B252" s="18" t="str">
        <f t="shared" si="3"/>
        <v/>
      </c>
      <c r="C252" s="2"/>
      <c r="D252" s="2"/>
      <c r="E252" s="2"/>
      <c r="F252" s="2"/>
      <c r="G252" s="2"/>
      <c r="H252" s="2"/>
      <c r="I252" s="28"/>
      <c r="J252" s="2"/>
    </row>
    <row r="253" ht="15" customHeight="1" spans="1:10">
      <c r="A253" s="6"/>
      <c r="B253" s="18" t="str">
        <f t="shared" si="3"/>
        <v/>
      </c>
      <c r="C253" s="2"/>
      <c r="D253" s="2"/>
      <c r="E253" s="2"/>
      <c r="F253" s="2"/>
      <c r="G253" s="2"/>
      <c r="H253" s="2"/>
      <c r="I253" s="28"/>
      <c r="J253" s="2"/>
    </row>
    <row r="254" ht="15" customHeight="1" spans="1:10">
      <c r="A254" s="6"/>
      <c r="B254" s="18" t="str">
        <f t="shared" si="3"/>
        <v/>
      </c>
      <c r="C254" s="2"/>
      <c r="D254" s="2"/>
      <c r="E254" s="2"/>
      <c r="F254" s="2"/>
      <c r="G254" s="2"/>
      <c r="H254" s="2"/>
      <c r="I254" s="28"/>
      <c r="J254" s="2"/>
    </row>
    <row r="255" ht="15" customHeight="1" spans="1:10">
      <c r="A255" s="6"/>
      <c r="B255" s="18" t="str">
        <f t="shared" si="3"/>
        <v/>
      </c>
      <c r="C255" s="2"/>
      <c r="D255" s="2"/>
      <c r="E255" s="2"/>
      <c r="F255" s="2"/>
      <c r="G255" s="2"/>
      <c r="H255" s="2"/>
      <c r="I255" s="28"/>
      <c r="J255" s="2"/>
    </row>
    <row r="256" ht="15" customHeight="1" spans="1:10">
      <c r="A256" s="6"/>
      <c r="B256" s="18" t="str">
        <f t="shared" si="3"/>
        <v/>
      </c>
      <c r="C256" s="2"/>
      <c r="D256" s="2"/>
      <c r="E256" s="2"/>
      <c r="F256" s="2"/>
      <c r="G256" s="2"/>
      <c r="H256" s="2"/>
      <c r="I256" s="28"/>
      <c r="J256" s="2"/>
    </row>
    <row r="257" ht="15" customHeight="1" spans="1:10">
      <c r="A257" s="6"/>
      <c r="B257" s="18" t="str">
        <f t="shared" si="3"/>
        <v/>
      </c>
      <c r="C257" s="2"/>
      <c r="D257" s="2"/>
      <c r="E257" s="2"/>
      <c r="F257" s="2"/>
      <c r="G257" s="2"/>
      <c r="H257" s="2"/>
      <c r="I257" s="28"/>
      <c r="J257" s="2"/>
    </row>
    <row r="258" ht="15" customHeight="1" spans="1:10">
      <c r="A258" s="6"/>
      <c r="B258" s="18" t="str">
        <f t="shared" si="3"/>
        <v/>
      </c>
      <c r="C258" s="2"/>
      <c r="D258" s="2"/>
      <c r="E258" s="2"/>
      <c r="F258" s="2"/>
      <c r="G258" s="2"/>
      <c r="H258" s="2"/>
      <c r="I258" s="28"/>
      <c r="J258" s="2"/>
    </row>
    <row r="259" ht="15" customHeight="1" spans="1:10">
      <c r="A259" s="6"/>
      <c r="B259" s="18" t="str">
        <f t="shared" si="3"/>
        <v/>
      </c>
      <c r="C259" s="2"/>
      <c r="D259" s="2"/>
      <c r="E259" s="2"/>
      <c r="F259" s="2"/>
      <c r="G259" s="2"/>
      <c r="H259" s="2"/>
      <c r="I259" s="28"/>
      <c r="J259" s="2"/>
    </row>
    <row r="260" ht="15" customHeight="1" spans="1:10">
      <c r="A260" s="6"/>
      <c r="B260" s="18" t="str">
        <f t="shared" ref="B260:B323" si="4">IF(A260="","",DATE(YEAR(A260),MONTH(A260),1))</f>
        <v/>
      </c>
      <c r="C260" s="2"/>
      <c r="D260" s="2"/>
      <c r="E260" s="2"/>
      <c r="F260" s="2"/>
      <c r="G260" s="2"/>
      <c r="H260" s="2"/>
      <c r="I260" s="28"/>
      <c r="J260" s="2"/>
    </row>
    <row r="261" ht="15" customHeight="1" spans="1:10">
      <c r="A261" s="6"/>
      <c r="B261" s="18" t="str">
        <f t="shared" si="4"/>
        <v/>
      </c>
      <c r="C261" s="2"/>
      <c r="D261" s="2"/>
      <c r="E261" s="2"/>
      <c r="F261" s="2"/>
      <c r="G261" s="2"/>
      <c r="H261" s="2"/>
      <c r="I261" s="28"/>
      <c r="J261" s="2"/>
    </row>
    <row r="262" ht="15" customHeight="1" spans="1:10">
      <c r="A262" s="6"/>
      <c r="B262" s="18" t="str">
        <f t="shared" si="4"/>
        <v/>
      </c>
      <c r="C262" s="2"/>
      <c r="D262" s="2"/>
      <c r="E262" s="2"/>
      <c r="F262" s="2"/>
      <c r="G262" s="2"/>
      <c r="H262" s="2"/>
      <c r="I262" s="28"/>
      <c r="J262" s="2"/>
    </row>
    <row r="263" ht="15" customHeight="1" spans="1:10">
      <c r="A263" s="6"/>
      <c r="B263" s="18" t="str">
        <f t="shared" si="4"/>
        <v/>
      </c>
      <c r="C263" s="2"/>
      <c r="D263" s="2"/>
      <c r="E263" s="2"/>
      <c r="F263" s="2"/>
      <c r="G263" s="2"/>
      <c r="H263" s="2"/>
      <c r="I263" s="28"/>
      <c r="J263" s="2"/>
    </row>
    <row r="264" ht="15" customHeight="1" spans="1:10">
      <c r="A264" s="6"/>
      <c r="B264" s="18" t="str">
        <f t="shared" si="4"/>
        <v/>
      </c>
      <c r="C264" s="2"/>
      <c r="D264" s="2"/>
      <c r="E264" s="2"/>
      <c r="F264" s="2"/>
      <c r="G264" s="2"/>
      <c r="H264" s="2"/>
      <c r="I264" s="28"/>
      <c r="J264" s="2"/>
    </row>
    <row r="265" ht="15" customHeight="1" spans="1:10">
      <c r="A265" s="6"/>
      <c r="B265" s="18" t="str">
        <f t="shared" si="4"/>
        <v/>
      </c>
      <c r="C265" s="2"/>
      <c r="D265" s="2"/>
      <c r="E265" s="2"/>
      <c r="F265" s="2"/>
      <c r="G265" s="2"/>
      <c r="H265" s="2"/>
      <c r="I265" s="28"/>
      <c r="J265" s="2"/>
    </row>
    <row r="266" ht="15" customHeight="1" spans="1:10">
      <c r="A266" s="6"/>
      <c r="B266" s="18" t="str">
        <f t="shared" si="4"/>
        <v/>
      </c>
      <c r="C266" s="2"/>
      <c r="D266" s="2"/>
      <c r="E266" s="2"/>
      <c r="F266" s="2"/>
      <c r="G266" s="2"/>
      <c r="H266" s="2"/>
      <c r="I266" s="28"/>
      <c r="J266" s="2"/>
    </row>
    <row r="267" ht="15" customHeight="1" spans="1:10">
      <c r="A267" s="6"/>
      <c r="B267" s="18" t="str">
        <f t="shared" si="4"/>
        <v/>
      </c>
      <c r="C267" s="2"/>
      <c r="D267" s="2"/>
      <c r="E267" s="2"/>
      <c r="F267" s="2"/>
      <c r="G267" s="2"/>
      <c r="H267" s="2"/>
      <c r="I267" s="28"/>
      <c r="J267" s="2"/>
    </row>
    <row r="268" ht="15" customHeight="1" spans="1:10">
      <c r="A268" s="6"/>
      <c r="B268" s="18" t="str">
        <f t="shared" si="4"/>
        <v/>
      </c>
      <c r="C268" s="2"/>
      <c r="D268" s="2"/>
      <c r="E268" s="2"/>
      <c r="F268" s="2"/>
      <c r="G268" s="2"/>
      <c r="H268" s="2"/>
      <c r="I268" s="28"/>
      <c r="J268" s="2"/>
    </row>
    <row r="269" ht="15" customHeight="1" spans="1:10">
      <c r="A269" s="6"/>
      <c r="B269" s="18" t="str">
        <f t="shared" si="4"/>
        <v/>
      </c>
      <c r="C269" s="2"/>
      <c r="D269" s="2"/>
      <c r="E269" s="2"/>
      <c r="F269" s="2"/>
      <c r="G269" s="2"/>
      <c r="H269" s="2"/>
      <c r="I269" s="28"/>
      <c r="J269" s="2"/>
    </row>
    <row r="270" ht="15" customHeight="1" spans="1:10">
      <c r="A270" s="6"/>
      <c r="B270" s="18" t="str">
        <f t="shared" si="4"/>
        <v/>
      </c>
      <c r="C270" s="2"/>
      <c r="D270" s="2"/>
      <c r="E270" s="2"/>
      <c r="F270" s="2"/>
      <c r="G270" s="2"/>
      <c r="H270" s="2"/>
      <c r="I270" s="28"/>
      <c r="J270" s="2"/>
    </row>
    <row r="271" ht="15" customHeight="1" spans="1:10">
      <c r="A271" s="6"/>
      <c r="B271" s="18" t="str">
        <f t="shared" si="4"/>
        <v/>
      </c>
      <c r="C271" s="2"/>
      <c r="D271" s="2"/>
      <c r="E271" s="2"/>
      <c r="F271" s="2"/>
      <c r="G271" s="2"/>
      <c r="H271" s="2"/>
      <c r="I271" s="28"/>
      <c r="J271" s="2"/>
    </row>
    <row r="272" ht="15" customHeight="1" spans="1:10">
      <c r="A272" s="6"/>
      <c r="B272" s="18" t="str">
        <f t="shared" si="4"/>
        <v/>
      </c>
      <c r="C272" s="2"/>
      <c r="D272" s="2"/>
      <c r="E272" s="2"/>
      <c r="F272" s="2"/>
      <c r="G272" s="2"/>
      <c r="H272" s="2"/>
      <c r="I272" s="28"/>
      <c r="J272" s="2"/>
    </row>
    <row r="273" ht="15" customHeight="1" spans="1:10">
      <c r="A273" s="6"/>
      <c r="B273" s="18" t="str">
        <f t="shared" si="4"/>
        <v/>
      </c>
      <c r="C273" s="2"/>
      <c r="D273" s="2"/>
      <c r="E273" s="2"/>
      <c r="F273" s="2"/>
      <c r="G273" s="2"/>
      <c r="H273" s="2"/>
      <c r="I273" s="28"/>
      <c r="J273" s="2"/>
    </row>
    <row r="274" ht="15" customHeight="1" spans="1:10">
      <c r="A274" s="6"/>
      <c r="B274" s="18" t="str">
        <f t="shared" si="4"/>
        <v/>
      </c>
      <c r="C274" s="2"/>
      <c r="D274" s="2"/>
      <c r="E274" s="2"/>
      <c r="F274" s="2"/>
      <c r="G274" s="2"/>
      <c r="H274" s="2"/>
      <c r="I274" s="28"/>
      <c r="J274" s="2"/>
    </row>
    <row r="275" ht="15" customHeight="1" spans="1:10">
      <c r="A275" s="6"/>
      <c r="B275" s="18" t="str">
        <f t="shared" si="4"/>
        <v/>
      </c>
      <c r="C275" s="2"/>
      <c r="D275" s="2"/>
      <c r="E275" s="2"/>
      <c r="F275" s="2"/>
      <c r="G275" s="2"/>
      <c r="H275" s="2"/>
      <c r="I275" s="28"/>
      <c r="J275" s="2"/>
    </row>
    <row r="276" ht="15" customHeight="1" spans="1:10">
      <c r="A276" s="6"/>
      <c r="B276" s="18" t="str">
        <f t="shared" si="4"/>
        <v/>
      </c>
      <c r="C276" s="2"/>
      <c r="D276" s="2"/>
      <c r="E276" s="2"/>
      <c r="F276" s="2"/>
      <c r="G276" s="2"/>
      <c r="H276" s="2"/>
      <c r="I276" s="28"/>
      <c r="J276" s="2"/>
    </row>
    <row r="277" ht="15" customHeight="1" spans="1:10">
      <c r="A277" s="6"/>
      <c r="B277" s="18" t="str">
        <f t="shared" si="4"/>
        <v/>
      </c>
      <c r="C277" s="2"/>
      <c r="D277" s="2"/>
      <c r="E277" s="2"/>
      <c r="F277" s="2"/>
      <c r="G277" s="2"/>
      <c r="H277" s="2"/>
      <c r="I277" s="28"/>
      <c r="J277" s="2"/>
    </row>
    <row r="278" ht="15" customHeight="1" spans="1:10">
      <c r="A278" s="6"/>
      <c r="B278" s="18" t="str">
        <f t="shared" si="4"/>
        <v/>
      </c>
      <c r="C278" s="2"/>
      <c r="D278" s="2"/>
      <c r="E278" s="2"/>
      <c r="F278" s="2"/>
      <c r="G278" s="2"/>
      <c r="H278" s="2"/>
      <c r="I278" s="28"/>
      <c r="J278" s="2"/>
    </row>
    <row r="279" ht="15" customHeight="1" spans="1:10">
      <c r="A279" s="6"/>
      <c r="B279" s="18" t="str">
        <f t="shared" si="4"/>
        <v/>
      </c>
      <c r="C279" s="2"/>
      <c r="D279" s="2"/>
      <c r="E279" s="2"/>
      <c r="F279" s="2"/>
      <c r="G279" s="2"/>
      <c r="H279" s="2"/>
      <c r="I279" s="28"/>
      <c r="J279" s="2"/>
    </row>
    <row r="280" ht="15" customHeight="1" spans="1:10">
      <c r="A280" s="6"/>
      <c r="B280" s="18" t="str">
        <f t="shared" si="4"/>
        <v/>
      </c>
      <c r="C280" s="2"/>
      <c r="D280" s="2"/>
      <c r="E280" s="2"/>
      <c r="F280" s="2"/>
      <c r="G280" s="2"/>
      <c r="H280" s="2"/>
      <c r="I280" s="28"/>
      <c r="J280" s="2"/>
    </row>
    <row r="281" ht="15" customHeight="1" spans="1:10">
      <c r="A281" s="6"/>
      <c r="B281" s="18" t="str">
        <f t="shared" si="4"/>
        <v/>
      </c>
      <c r="C281" s="2"/>
      <c r="D281" s="2"/>
      <c r="E281" s="2"/>
      <c r="F281" s="2"/>
      <c r="G281" s="2"/>
      <c r="H281" s="2"/>
      <c r="I281" s="28"/>
      <c r="J281" s="2"/>
    </row>
    <row r="282" ht="15" customHeight="1" spans="1:10">
      <c r="A282" s="6"/>
      <c r="B282" s="18" t="str">
        <f t="shared" si="4"/>
        <v/>
      </c>
      <c r="C282" s="2"/>
      <c r="D282" s="2"/>
      <c r="E282" s="2"/>
      <c r="F282" s="2"/>
      <c r="G282" s="2"/>
      <c r="H282" s="2"/>
      <c r="I282" s="28"/>
      <c r="J282" s="2"/>
    </row>
    <row r="283" ht="15" customHeight="1" spans="1:10">
      <c r="A283" s="6"/>
      <c r="B283" s="18" t="str">
        <f t="shared" si="4"/>
        <v/>
      </c>
      <c r="C283" s="2"/>
      <c r="D283" s="2"/>
      <c r="E283" s="2"/>
      <c r="F283" s="2"/>
      <c r="G283" s="2"/>
      <c r="H283" s="2"/>
      <c r="I283" s="28"/>
      <c r="J283" s="2"/>
    </row>
    <row r="284" ht="15" customHeight="1" spans="1:10">
      <c r="A284" s="6"/>
      <c r="B284" s="18" t="str">
        <f t="shared" si="4"/>
        <v/>
      </c>
      <c r="C284" s="2"/>
      <c r="D284" s="2"/>
      <c r="E284" s="2"/>
      <c r="F284" s="2"/>
      <c r="G284" s="2"/>
      <c r="H284" s="2"/>
      <c r="I284" s="28"/>
      <c r="J284" s="2"/>
    </row>
    <row r="285" ht="15" customHeight="1" spans="1:10">
      <c r="A285" s="6"/>
      <c r="B285" s="18" t="str">
        <f t="shared" si="4"/>
        <v/>
      </c>
      <c r="C285" s="2"/>
      <c r="D285" s="2"/>
      <c r="E285" s="2"/>
      <c r="F285" s="2"/>
      <c r="G285" s="2"/>
      <c r="H285" s="2"/>
      <c r="I285" s="28"/>
      <c r="J285" s="2"/>
    </row>
    <row r="286" ht="15" customHeight="1" spans="1:10">
      <c r="A286" s="6"/>
      <c r="B286" s="18" t="str">
        <f t="shared" si="4"/>
        <v/>
      </c>
      <c r="C286" s="2"/>
      <c r="D286" s="2"/>
      <c r="E286" s="2"/>
      <c r="F286" s="2"/>
      <c r="G286" s="2"/>
      <c r="H286" s="2"/>
      <c r="I286" s="28"/>
      <c r="J286" s="2"/>
    </row>
    <row r="287" ht="15" customHeight="1" spans="1:10">
      <c r="A287" s="6"/>
      <c r="B287" s="18" t="str">
        <f t="shared" si="4"/>
        <v/>
      </c>
      <c r="C287" s="2"/>
      <c r="D287" s="2"/>
      <c r="E287" s="2"/>
      <c r="F287" s="2"/>
      <c r="G287" s="2"/>
      <c r="H287" s="2"/>
      <c r="I287" s="28"/>
      <c r="J287" s="2"/>
    </row>
    <row r="288" ht="15" customHeight="1" spans="1:10">
      <c r="A288" s="6"/>
      <c r="B288" s="18" t="str">
        <f t="shared" si="4"/>
        <v/>
      </c>
      <c r="C288" s="2"/>
      <c r="D288" s="2"/>
      <c r="E288" s="2"/>
      <c r="F288" s="2"/>
      <c r="G288" s="2"/>
      <c r="H288" s="2"/>
      <c r="I288" s="28"/>
      <c r="J288" s="2"/>
    </row>
    <row r="289" ht="15" customHeight="1" spans="1:10">
      <c r="A289" s="6"/>
      <c r="B289" s="18" t="str">
        <f t="shared" si="4"/>
        <v/>
      </c>
      <c r="C289" s="2"/>
      <c r="D289" s="2"/>
      <c r="E289" s="2"/>
      <c r="F289" s="2"/>
      <c r="G289" s="2"/>
      <c r="H289" s="2"/>
      <c r="I289" s="28"/>
      <c r="J289" s="2"/>
    </row>
    <row r="290" ht="15" customHeight="1" spans="1:10">
      <c r="A290" s="6"/>
      <c r="B290" s="18" t="str">
        <f t="shared" si="4"/>
        <v/>
      </c>
      <c r="C290" s="2"/>
      <c r="D290" s="2"/>
      <c r="E290" s="2"/>
      <c r="F290" s="2"/>
      <c r="G290" s="2"/>
      <c r="H290" s="2"/>
      <c r="I290" s="28"/>
      <c r="J290" s="2"/>
    </row>
    <row r="291" ht="15" customHeight="1" spans="1:10">
      <c r="A291" s="6"/>
      <c r="B291" s="18" t="str">
        <f t="shared" si="4"/>
        <v/>
      </c>
      <c r="C291" s="2"/>
      <c r="D291" s="2"/>
      <c r="E291" s="2"/>
      <c r="F291" s="2"/>
      <c r="G291" s="2"/>
      <c r="H291" s="2"/>
      <c r="I291" s="28"/>
      <c r="J291" s="2"/>
    </row>
    <row r="292" ht="15" customHeight="1" spans="1:10">
      <c r="A292" s="6"/>
      <c r="B292" s="18" t="str">
        <f t="shared" si="4"/>
        <v/>
      </c>
      <c r="C292" s="2"/>
      <c r="D292" s="2"/>
      <c r="E292" s="2"/>
      <c r="F292" s="2"/>
      <c r="G292" s="2"/>
      <c r="H292" s="2"/>
      <c r="I292" s="28"/>
      <c r="J292" s="2"/>
    </row>
    <row r="293" ht="15" customHeight="1" spans="1:10">
      <c r="A293" s="6"/>
      <c r="B293" s="18" t="str">
        <f t="shared" si="4"/>
        <v/>
      </c>
      <c r="C293" s="2"/>
      <c r="D293" s="2"/>
      <c r="E293" s="2"/>
      <c r="F293" s="2"/>
      <c r="G293" s="2"/>
      <c r="H293" s="2"/>
      <c r="I293" s="28"/>
      <c r="J293" s="2"/>
    </row>
    <row r="294" ht="15" customHeight="1" spans="1:10">
      <c r="A294" s="6"/>
      <c r="B294" s="18" t="str">
        <f t="shared" si="4"/>
        <v/>
      </c>
      <c r="C294" s="2"/>
      <c r="D294" s="2"/>
      <c r="E294" s="2"/>
      <c r="F294" s="2"/>
      <c r="G294" s="2"/>
      <c r="H294" s="2"/>
      <c r="I294" s="28"/>
      <c r="J294" s="2"/>
    </row>
    <row r="295" ht="15" customHeight="1" spans="1:10">
      <c r="A295" s="6"/>
      <c r="B295" s="18" t="str">
        <f t="shared" si="4"/>
        <v/>
      </c>
      <c r="C295" s="2"/>
      <c r="D295" s="2"/>
      <c r="E295" s="2"/>
      <c r="F295" s="2"/>
      <c r="G295" s="2"/>
      <c r="H295" s="2"/>
      <c r="I295" s="28"/>
      <c r="J295" s="2"/>
    </row>
    <row r="296" ht="15" customHeight="1" spans="1:10">
      <c r="A296" s="6"/>
      <c r="B296" s="18" t="str">
        <f t="shared" si="4"/>
        <v/>
      </c>
      <c r="C296" s="2"/>
      <c r="D296" s="2"/>
      <c r="E296" s="2"/>
      <c r="F296" s="2"/>
      <c r="G296" s="2"/>
      <c r="H296" s="2"/>
      <c r="I296" s="28"/>
      <c r="J296" s="2"/>
    </row>
    <row r="297" ht="15" customHeight="1" spans="1:10">
      <c r="A297" s="6"/>
      <c r="B297" s="18" t="str">
        <f t="shared" si="4"/>
        <v/>
      </c>
      <c r="C297" s="2"/>
      <c r="D297" s="2"/>
      <c r="E297" s="2"/>
      <c r="F297" s="2"/>
      <c r="G297" s="2"/>
      <c r="H297" s="2"/>
      <c r="I297" s="28"/>
      <c r="J297" s="2"/>
    </row>
    <row r="298" ht="15" customHeight="1" spans="1:10">
      <c r="A298" s="6"/>
      <c r="B298" s="18" t="str">
        <f t="shared" si="4"/>
        <v/>
      </c>
      <c r="C298" s="2"/>
      <c r="D298" s="2"/>
      <c r="E298" s="2"/>
      <c r="F298" s="2"/>
      <c r="G298" s="2"/>
      <c r="H298" s="2"/>
      <c r="I298" s="28"/>
      <c r="J298" s="2"/>
    </row>
    <row r="299" ht="15" customHeight="1" spans="1:10">
      <c r="A299" s="6"/>
      <c r="B299" s="18" t="str">
        <f t="shared" si="4"/>
        <v/>
      </c>
      <c r="C299" s="2"/>
      <c r="D299" s="2"/>
      <c r="E299" s="2"/>
      <c r="F299" s="2"/>
      <c r="G299" s="2"/>
      <c r="H299" s="2"/>
      <c r="I299" s="28"/>
      <c r="J299" s="2"/>
    </row>
    <row r="300" ht="15" customHeight="1" spans="1:10">
      <c r="A300" s="6"/>
      <c r="B300" s="18" t="str">
        <f t="shared" si="4"/>
        <v/>
      </c>
      <c r="C300" s="2"/>
      <c r="D300" s="2"/>
      <c r="E300" s="2"/>
      <c r="F300" s="2"/>
      <c r="G300" s="2"/>
      <c r="H300" s="2"/>
      <c r="I300" s="28"/>
      <c r="J300" s="2"/>
    </row>
    <row r="301" ht="15" customHeight="1" spans="1:10">
      <c r="A301" s="6"/>
      <c r="B301" s="18" t="str">
        <f t="shared" si="4"/>
        <v/>
      </c>
      <c r="C301" s="2"/>
      <c r="D301" s="2"/>
      <c r="E301" s="2"/>
      <c r="F301" s="2"/>
      <c r="G301" s="2"/>
      <c r="H301" s="2"/>
      <c r="I301" s="28"/>
      <c r="J301" s="2"/>
    </row>
    <row r="302" ht="15" customHeight="1" spans="1:10">
      <c r="A302" s="6"/>
      <c r="B302" s="18" t="str">
        <f t="shared" si="4"/>
        <v/>
      </c>
      <c r="C302" s="2"/>
      <c r="D302" s="2"/>
      <c r="E302" s="2"/>
      <c r="F302" s="2"/>
      <c r="G302" s="2"/>
      <c r="H302" s="2"/>
      <c r="I302" s="28"/>
      <c r="J302" s="2"/>
    </row>
    <row r="303" ht="15" customHeight="1" spans="1:10">
      <c r="A303" s="6"/>
      <c r="B303" s="18" t="str">
        <f t="shared" si="4"/>
        <v/>
      </c>
      <c r="C303" s="2"/>
      <c r="D303" s="2"/>
      <c r="E303" s="2"/>
      <c r="F303" s="2"/>
      <c r="G303" s="2"/>
      <c r="H303" s="2"/>
      <c r="I303" s="28"/>
      <c r="J303" s="2"/>
    </row>
    <row r="304" ht="15" customHeight="1" spans="1:10">
      <c r="A304" s="6"/>
      <c r="B304" s="18" t="str">
        <f t="shared" si="4"/>
        <v/>
      </c>
      <c r="C304" s="2"/>
      <c r="D304" s="2"/>
      <c r="E304" s="2"/>
      <c r="F304" s="2"/>
      <c r="G304" s="2"/>
      <c r="H304" s="2"/>
      <c r="I304" s="28"/>
      <c r="J304" s="2"/>
    </row>
    <row r="305" ht="15" customHeight="1" spans="1:10">
      <c r="A305" s="6"/>
      <c r="B305" s="18" t="str">
        <f t="shared" si="4"/>
        <v/>
      </c>
      <c r="C305" s="2"/>
      <c r="D305" s="2"/>
      <c r="E305" s="2"/>
      <c r="F305" s="2"/>
      <c r="G305" s="2"/>
      <c r="H305" s="2"/>
      <c r="I305" s="28"/>
      <c r="J305" s="2"/>
    </row>
    <row r="306" ht="15" customHeight="1" spans="1:10">
      <c r="A306" s="6"/>
      <c r="B306" s="18" t="str">
        <f t="shared" si="4"/>
        <v/>
      </c>
      <c r="C306" s="2"/>
      <c r="D306" s="2"/>
      <c r="E306" s="2"/>
      <c r="F306" s="2"/>
      <c r="G306" s="2"/>
      <c r="H306" s="2"/>
      <c r="I306" s="28"/>
      <c r="J306" s="2"/>
    </row>
    <row r="307" ht="15" customHeight="1" spans="1:10">
      <c r="A307" s="6"/>
      <c r="B307" s="18" t="str">
        <f t="shared" si="4"/>
        <v/>
      </c>
      <c r="C307" s="2"/>
      <c r="D307" s="2"/>
      <c r="E307" s="2"/>
      <c r="F307" s="2"/>
      <c r="G307" s="2"/>
      <c r="H307" s="2"/>
      <c r="I307" s="28"/>
      <c r="J307" s="2"/>
    </row>
    <row r="308" ht="15" customHeight="1" spans="1:10">
      <c r="A308" s="6"/>
      <c r="B308" s="18" t="str">
        <f t="shared" si="4"/>
        <v/>
      </c>
      <c r="C308" s="2"/>
      <c r="D308" s="2"/>
      <c r="E308" s="2"/>
      <c r="F308" s="2"/>
      <c r="G308" s="2"/>
      <c r="H308" s="2"/>
      <c r="I308" s="28"/>
      <c r="J308" s="2"/>
    </row>
    <row r="309" ht="15" customHeight="1" spans="1:10">
      <c r="A309" s="6"/>
      <c r="B309" s="18" t="str">
        <f t="shared" si="4"/>
        <v/>
      </c>
      <c r="C309" s="2"/>
      <c r="D309" s="2"/>
      <c r="E309" s="2"/>
      <c r="F309" s="2"/>
      <c r="G309" s="2"/>
      <c r="H309" s="2"/>
      <c r="I309" s="28"/>
      <c r="J309" s="2"/>
    </row>
    <row r="310" ht="15" customHeight="1" spans="1:10">
      <c r="A310" s="6"/>
      <c r="B310" s="18" t="str">
        <f t="shared" si="4"/>
        <v/>
      </c>
      <c r="C310" s="2"/>
      <c r="D310" s="2"/>
      <c r="E310" s="2"/>
      <c r="F310" s="2"/>
      <c r="G310" s="2"/>
      <c r="H310" s="2"/>
      <c r="I310" s="28"/>
      <c r="J310" s="2"/>
    </row>
    <row r="311" ht="15" customHeight="1" spans="1:10">
      <c r="A311" s="6"/>
      <c r="B311" s="18" t="str">
        <f t="shared" si="4"/>
        <v/>
      </c>
      <c r="C311" s="2"/>
      <c r="D311" s="2"/>
      <c r="E311" s="2"/>
      <c r="F311" s="2"/>
      <c r="G311" s="2"/>
      <c r="H311" s="2"/>
      <c r="I311" s="28"/>
      <c r="J311" s="2"/>
    </row>
    <row r="312" ht="15" customHeight="1" spans="1:10">
      <c r="A312" s="6"/>
      <c r="B312" s="18" t="str">
        <f t="shared" si="4"/>
        <v/>
      </c>
      <c r="C312" s="2"/>
      <c r="D312" s="2"/>
      <c r="E312" s="2"/>
      <c r="F312" s="2"/>
      <c r="G312" s="2"/>
      <c r="H312" s="2"/>
      <c r="I312" s="28"/>
      <c r="J312" s="2"/>
    </row>
    <row r="313" ht="15" customHeight="1" spans="1:10">
      <c r="A313" s="6"/>
      <c r="B313" s="18" t="str">
        <f t="shared" si="4"/>
        <v/>
      </c>
      <c r="C313" s="2"/>
      <c r="D313" s="2"/>
      <c r="E313" s="2"/>
      <c r="F313" s="2"/>
      <c r="G313" s="2"/>
      <c r="H313" s="2"/>
      <c r="I313" s="28"/>
      <c r="J313" s="2"/>
    </row>
    <row r="314" ht="15" customHeight="1" spans="1:10">
      <c r="A314" s="6"/>
      <c r="B314" s="18" t="str">
        <f t="shared" si="4"/>
        <v/>
      </c>
      <c r="C314" s="2"/>
      <c r="D314" s="2"/>
      <c r="E314" s="2"/>
      <c r="F314" s="2"/>
      <c r="G314" s="2"/>
      <c r="H314" s="2"/>
      <c r="I314" s="28"/>
      <c r="J314" s="2"/>
    </row>
    <row r="315" ht="15" customHeight="1" spans="1:10">
      <c r="A315" s="6"/>
      <c r="B315" s="18" t="str">
        <f t="shared" si="4"/>
        <v/>
      </c>
      <c r="C315" s="2"/>
      <c r="D315" s="2"/>
      <c r="E315" s="2"/>
      <c r="F315" s="2"/>
      <c r="G315" s="2"/>
      <c r="H315" s="2"/>
      <c r="I315" s="28"/>
      <c r="J315" s="2"/>
    </row>
    <row r="316" ht="15" customHeight="1" spans="1:10">
      <c r="A316" s="6"/>
      <c r="B316" s="18" t="str">
        <f t="shared" si="4"/>
        <v/>
      </c>
      <c r="C316" s="2"/>
      <c r="D316" s="2"/>
      <c r="E316" s="2"/>
      <c r="F316" s="2"/>
      <c r="G316" s="2"/>
      <c r="H316" s="2"/>
      <c r="I316" s="28"/>
      <c r="J316" s="2"/>
    </row>
    <row r="317" ht="15" customHeight="1" spans="1:10">
      <c r="A317" s="6"/>
      <c r="B317" s="18" t="str">
        <f t="shared" si="4"/>
        <v/>
      </c>
      <c r="C317" s="2"/>
      <c r="D317" s="2"/>
      <c r="E317" s="2"/>
      <c r="F317" s="2"/>
      <c r="G317" s="2"/>
      <c r="H317" s="2"/>
      <c r="I317" s="28"/>
      <c r="J317" s="2"/>
    </row>
    <row r="318" ht="15" customHeight="1" spans="1:10">
      <c r="A318" s="6"/>
      <c r="B318" s="18" t="str">
        <f t="shared" si="4"/>
        <v/>
      </c>
      <c r="C318" s="2"/>
      <c r="D318" s="2"/>
      <c r="E318" s="2"/>
      <c r="F318" s="2"/>
      <c r="G318" s="2"/>
      <c r="H318" s="2"/>
      <c r="I318" s="28"/>
      <c r="J318" s="2"/>
    </row>
    <row r="319" ht="15" customHeight="1" spans="1:10">
      <c r="A319" s="6"/>
      <c r="B319" s="18" t="str">
        <f t="shared" si="4"/>
        <v/>
      </c>
      <c r="C319" s="2"/>
      <c r="D319" s="2"/>
      <c r="E319" s="2"/>
      <c r="F319" s="2"/>
      <c r="G319" s="2"/>
      <c r="H319" s="2"/>
      <c r="I319" s="28"/>
      <c r="J319" s="2"/>
    </row>
    <row r="320" ht="15" customHeight="1" spans="1:10">
      <c r="A320" s="6"/>
      <c r="B320" s="18" t="str">
        <f t="shared" si="4"/>
        <v/>
      </c>
      <c r="C320" s="2"/>
      <c r="D320" s="2"/>
      <c r="E320" s="2"/>
      <c r="F320" s="2"/>
      <c r="G320" s="2"/>
      <c r="H320" s="2"/>
      <c r="I320" s="28"/>
      <c r="J320" s="2"/>
    </row>
    <row r="321" ht="15" customHeight="1" spans="1:10">
      <c r="A321" s="6"/>
      <c r="B321" s="18" t="str">
        <f t="shared" si="4"/>
        <v/>
      </c>
      <c r="C321" s="2"/>
      <c r="D321" s="2"/>
      <c r="E321" s="2"/>
      <c r="F321" s="2"/>
      <c r="G321" s="2"/>
      <c r="H321" s="2"/>
      <c r="I321" s="28"/>
      <c r="J321" s="2"/>
    </row>
    <row r="322" ht="15" customHeight="1" spans="1:10">
      <c r="A322" s="6"/>
      <c r="B322" s="18" t="str">
        <f t="shared" si="4"/>
        <v/>
      </c>
      <c r="C322" s="2"/>
      <c r="D322" s="2"/>
      <c r="E322" s="2"/>
      <c r="F322" s="2"/>
      <c r="G322" s="2"/>
      <c r="H322" s="2"/>
      <c r="I322" s="28"/>
      <c r="J322" s="2"/>
    </row>
    <row r="323" ht="15" customHeight="1" spans="1:10">
      <c r="A323" s="6"/>
      <c r="B323" s="18" t="str">
        <f t="shared" si="4"/>
        <v/>
      </c>
      <c r="C323" s="2"/>
      <c r="D323" s="2"/>
      <c r="E323" s="2"/>
      <c r="F323" s="2"/>
      <c r="G323" s="2"/>
      <c r="H323" s="2"/>
      <c r="I323" s="28"/>
      <c r="J323" s="2"/>
    </row>
    <row r="324" ht="15" customHeight="1" spans="1:10">
      <c r="A324" s="6"/>
      <c r="B324" s="18" t="str">
        <f t="shared" ref="B324:B387" si="5">IF(A324="","",DATE(YEAR(A324),MONTH(A324),1))</f>
        <v/>
      </c>
      <c r="C324" s="2"/>
      <c r="D324" s="2"/>
      <c r="E324" s="2"/>
      <c r="F324" s="2"/>
      <c r="G324" s="2"/>
      <c r="H324" s="2"/>
      <c r="I324" s="28"/>
      <c r="J324" s="2"/>
    </row>
    <row r="325" ht="15" customHeight="1" spans="1:10">
      <c r="A325" s="6"/>
      <c r="B325" s="18" t="str">
        <f t="shared" si="5"/>
        <v/>
      </c>
      <c r="C325" s="2"/>
      <c r="D325" s="2"/>
      <c r="E325" s="2"/>
      <c r="F325" s="2"/>
      <c r="G325" s="2"/>
      <c r="H325" s="2"/>
      <c r="I325" s="28"/>
      <c r="J325" s="2"/>
    </row>
    <row r="326" ht="15" customHeight="1" spans="1:10">
      <c r="A326" s="6"/>
      <c r="B326" s="18" t="str">
        <f t="shared" si="5"/>
        <v/>
      </c>
      <c r="C326" s="2"/>
      <c r="D326" s="2"/>
      <c r="E326" s="2"/>
      <c r="F326" s="2"/>
      <c r="G326" s="2"/>
      <c r="H326" s="2"/>
      <c r="I326" s="28"/>
      <c r="J326" s="2"/>
    </row>
    <row r="327" ht="15" customHeight="1" spans="1:10">
      <c r="A327" s="6"/>
      <c r="B327" s="18" t="str">
        <f t="shared" si="5"/>
        <v/>
      </c>
      <c r="C327" s="2"/>
      <c r="D327" s="2"/>
      <c r="E327" s="2"/>
      <c r="F327" s="2"/>
      <c r="G327" s="2"/>
      <c r="H327" s="2"/>
      <c r="I327" s="28"/>
      <c r="J327" s="2"/>
    </row>
    <row r="328" ht="15" customHeight="1" spans="1:10">
      <c r="A328" s="6"/>
      <c r="B328" s="18" t="str">
        <f t="shared" si="5"/>
        <v/>
      </c>
      <c r="C328" s="2"/>
      <c r="D328" s="2"/>
      <c r="E328" s="2"/>
      <c r="F328" s="2"/>
      <c r="G328" s="2"/>
      <c r="H328" s="2"/>
      <c r="I328" s="28"/>
      <c r="J328" s="2"/>
    </row>
    <row r="329" ht="15" customHeight="1" spans="1:10">
      <c r="A329" s="6"/>
      <c r="B329" s="18" t="str">
        <f t="shared" si="5"/>
        <v/>
      </c>
      <c r="C329" s="2"/>
      <c r="D329" s="2"/>
      <c r="E329" s="2"/>
      <c r="F329" s="2"/>
      <c r="G329" s="2"/>
      <c r="H329" s="2"/>
      <c r="I329" s="28"/>
      <c r="J329" s="2"/>
    </row>
    <row r="330" ht="15" customHeight="1" spans="1:10">
      <c r="A330" s="6"/>
      <c r="B330" s="18" t="str">
        <f t="shared" si="5"/>
        <v/>
      </c>
      <c r="C330" s="2"/>
      <c r="D330" s="2"/>
      <c r="E330" s="2"/>
      <c r="F330" s="2"/>
      <c r="G330" s="2"/>
      <c r="H330" s="2"/>
      <c r="I330" s="28"/>
      <c r="J330" s="2"/>
    </row>
    <row r="331" ht="15" customHeight="1" spans="1:10">
      <c r="A331" s="6"/>
      <c r="B331" s="18" t="str">
        <f t="shared" si="5"/>
        <v/>
      </c>
      <c r="C331" s="2"/>
      <c r="D331" s="2"/>
      <c r="E331" s="2"/>
      <c r="F331" s="2"/>
      <c r="G331" s="2"/>
      <c r="H331" s="2"/>
      <c r="I331" s="28"/>
      <c r="J331" s="2"/>
    </row>
    <row r="332" ht="15" customHeight="1" spans="1:10">
      <c r="A332" s="6"/>
      <c r="B332" s="18" t="str">
        <f t="shared" si="5"/>
        <v/>
      </c>
      <c r="C332" s="2"/>
      <c r="D332" s="2"/>
      <c r="E332" s="2"/>
      <c r="F332" s="2"/>
      <c r="G332" s="2"/>
      <c r="H332" s="2"/>
      <c r="I332" s="28"/>
      <c r="J332" s="2"/>
    </row>
    <row r="333" ht="15" customHeight="1" spans="1:10">
      <c r="A333" s="6"/>
      <c r="B333" s="18" t="str">
        <f t="shared" si="5"/>
        <v/>
      </c>
      <c r="C333" s="2"/>
      <c r="D333" s="2"/>
      <c r="E333" s="2"/>
      <c r="F333" s="2"/>
      <c r="G333" s="2"/>
      <c r="H333" s="2"/>
      <c r="I333" s="28"/>
      <c r="J333" s="2"/>
    </row>
    <row r="334" ht="15" customHeight="1" spans="1:10">
      <c r="A334" s="6"/>
      <c r="B334" s="18" t="str">
        <f t="shared" si="5"/>
        <v/>
      </c>
      <c r="C334" s="2"/>
      <c r="D334" s="2"/>
      <c r="E334" s="2"/>
      <c r="F334" s="2"/>
      <c r="G334" s="2"/>
      <c r="H334" s="2"/>
      <c r="I334" s="28"/>
      <c r="J334" s="2"/>
    </row>
    <row r="335" ht="15" customHeight="1" spans="1:10">
      <c r="A335" s="6"/>
      <c r="B335" s="18" t="str">
        <f t="shared" si="5"/>
        <v/>
      </c>
      <c r="C335" s="2"/>
      <c r="D335" s="2"/>
      <c r="E335" s="2"/>
      <c r="F335" s="2"/>
      <c r="G335" s="2"/>
      <c r="H335" s="2"/>
      <c r="I335" s="28"/>
      <c r="J335" s="2"/>
    </row>
    <row r="336" ht="15" customHeight="1" spans="1:10">
      <c r="A336" s="6"/>
      <c r="B336" s="18" t="str">
        <f t="shared" si="5"/>
        <v/>
      </c>
      <c r="C336" s="2"/>
      <c r="D336" s="2"/>
      <c r="E336" s="2"/>
      <c r="F336" s="2"/>
      <c r="G336" s="2"/>
      <c r="H336" s="2"/>
      <c r="I336" s="28"/>
      <c r="J336" s="2"/>
    </row>
    <row r="337" ht="15" customHeight="1" spans="1:10">
      <c r="A337" s="6"/>
      <c r="B337" s="18" t="str">
        <f t="shared" si="5"/>
        <v/>
      </c>
      <c r="C337" s="2"/>
      <c r="D337" s="2"/>
      <c r="E337" s="2"/>
      <c r="F337" s="2"/>
      <c r="G337" s="2"/>
      <c r="H337" s="2"/>
      <c r="I337" s="28"/>
      <c r="J337" s="2"/>
    </row>
    <row r="338" ht="15" customHeight="1" spans="1:10">
      <c r="A338" s="6"/>
      <c r="B338" s="18" t="str">
        <f t="shared" si="5"/>
        <v/>
      </c>
      <c r="C338" s="2"/>
      <c r="D338" s="2"/>
      <c r="E338" s="2"/>
      <c r="F338" s="2"/>
      <c r="G338" s="2"/>
      <c r="H338" s="2"/>
      <c r="I338" s="28"/>
      <c r="J338" s="2"/>
    </row>
    <row r="339" ht="15" customHeight="1" spans="1:10">
      <c r="A339" s="6"/>
      <c r="B339" s="18" t="str">
        <f t="shared" si="5"/>
        <v/>
      </c>
      <c r="C339" s="2"/>
      <c r="D339" s="2"/>
      <c r="E339" s="2"/>
      <c r="F339" s="2"/>
      <c r="G339" s="2"/>
      <c r="H339" s="2"/>
      <c r="I339" s="28"/>
      <c r="J339" s="2"/>
    </row>
    <row r="340" ht="15" customHeight="1" spans="1:10">
      <c r="A340" s="6"/>
      <c r="B340" s="18" t="str">
        <f t="shared" si="5"/>
        <v/>
      </c>
      <c r="C340" s="2"/>
      <c r="D340" s="2"/>
      <c r="E340" s="2"/>
      <c r="F340" s="2"/>
      <c r="G340" s="2"/>
      <c r="H340" s="2"/>
      <c r="I340" s="28"/>
      <c r="J340" s="2"/>
    </row>
    <row r="341" ht="15" customHeight="1" spans="1:10">
      <c r="A341" s="6"/>
      <c r="B341" s="18" t="str">
        <f t="shared" si="5"/>
        <v/>
      </c>
      <c r="C341" s="2"/>
      <c r="D341" s="2"/>
      <c r="E341" s="2"/>
      <c r="F341" s="2"/>
      <c r="G341" s="2"/>
      <c r="H341" s="2"/>
      <c r="I341" s="28"/>
      <c r="J341" s="2"/>
    </row>
    <row r="342" ht="15" customHeight="1" spans="1:10">
      <c r="A342" s="6"/>
      <c r="B342" s="18" t="str">
        <f t="shared" si="5"/>
        <v/>
      </c>
      <c r="C342" s="2"/>
      <c r="D342" s="2"/>
      <c r="E342" s="2"/>
      <c r="F342" s="2"/>
      <c r="G342" s="2"/>
      <c r="H342" s="2"/>
      <c r="I342" s="28"/>
      <c r="J342" s="2"/>
    </row>
    <row r="343" ht="15" customHeight="1" spans="1:10">
      <c r="A343" s="6"/>
      <c r="B343" s="18" t="str">
        <f t="shared" si="5"/>
        <v/>
      </c>
      <c r="C343" s="2"/>
      <c r="D343" s="2"/>
      <c r="E343" s="2"/>
      <c r="F343" s="2"/>
      <c r="G343" s="2"/>
      <c r="H343" s="2"/>
      <c r="I343" s="28"/>
      <c r="J343" s="2"/>
    </row>
    <row r="344" ht="15" customHeight="1" spans="1:10">
      <c r="A344" s="6"/>
      <c r="B344" s="18" t="str">
        <f t="shared" si="5"/>
        <v/>
      </c>
      <c r="C344" s="2"/>
      <c r="D344" s="2"/>
      <c r="E344" s="2"/>
      <c r="F344" s="2"/>
      <c r="G344" s="2"/>
      <c r="H344" s="2"/>
      <c r="I344" s="28"/>
      <c r="J344" s="2"/>
    </row>
    <row r="345" ht="15" customHeight="1" spans="1:10">
      <c r="A345" s="6"/>
      <c r="B345" s="18" t="str">
        <f t="shared" si="5"/>
        <v/>
      </c>
      <c r="C345" s="2"/>
      <c r="D345" s="2"/>
      <c r="E345" s="2"/>
      <c r="F345" s="2"/>
      <c r="G345" s="2"/>
      <c r="H345" s="2"/>
      <c r="I345" s="28"/>
      <c r="J345" s="2"/>
    </row>
    <row r="346" ht="15" customHeight="1" spans="1:10">
      <c r="A346" s="6"/>
      <c r="B346" s="18" t="str">
        <f t="shared" si="5"/>
        <v/>
      </c>
      <c r="C346" s="2"/>
      <c r="D346" s="2"/>
      <c r="E346" s="2"/>
      <c r="F346" s="2"/>
      <c r="G346" s="2"/>
      <c r="H346" s="2"/>
      <c r="I346" s="28"/>
      <c r="J346" s="2"/>
    </row>
    <row r="347" ht="15" customHeight="1" spans="1:10">
      <c r="A347" s="6"/>
      <c r="B347" s="18" t="str">
        <f t="shared" si="5"/>
        <v/>
      </c>
      <c r="C347" s="2"/>
      <c r="D347" s="2"/>
      <c r="E347" s="2"/>
      <c r="F347" s="2"/>
      <c r="G347" s="2"/>
      <c r="H347" s="2"/>
      <c r="I347" s="28"/>
      <c r="J347" s="2"/>
    </row>
    <row r="348" ht="15" customHeight="1" spans="1:10">
      <c r="A348" s="6"/>
      <c r="B348" s="18" t="str">
        <f t="shared" si="5"/>
        <v/>
      </c>
      <c r="C348" s="2"/>
      <c r="D348" s="2"/>
      <c r="E348" s="2"/>
      <c r="F348" s="2"/>
      <c r="G348" s="2"/>
      <c r="H348" s="2"/>
      <c r="I348" s="28"/>
      <c r="J348" s="2"/>
    </row>
    <row r="349" ht="15" customHeight="1" spans="1:10">
      <c r="A349" s="6"/>
      <c r="B349" s="18" t="str">
        <f t="shared" si="5"/>
        <v/>
      </c>
      <c r="C349" s="2"/>
      <c r="D349" s="2"/>
      <c r="E349" s="2"/>
      <c r="F349" s="2"/>
      <c r="G349" s="2"/>
      <c r="H349" s="2"/>
      <c r="I349" s="28"/>
      <c r="J349" s="2"/>
    </row>
    <row r="350" ht="15" customHeight="1" spans="1:10">
      <c r="A350" s="6"/>
      <c r="B350" s="18" t="str">
        <f t="shared" si="5"/>
        <v/>
      </c>
      <c r="C350" s="2"/>
      <c r="D350" s="2"/>
      <c r="E350" s="2"/>
      <c r="F350" s="2"/>
      <c r="G350" s="2"/>
      <c r="H350" s="2"/>
      <c r="I350" s="28"/>
      <c r="J350" s="2"/>
    </row>
    <row r="351" ht="15" customHeight="1" spans="1:10">
      <c r="A351" s="6"/>
      <c r="B351" s="18" t="str">
        <f t="shared" si="5"/>
        <v/>
      </c>
      <c r="C351" s="2"/>
      <c r="D351" s="2"/>
      <c r="E351" s="2"/>
      <c r="F351" s="2"/>
      <c r="G351" s="2"/>
      <c r="H351" s="2"/>
      <c r="I351" s="28"/>
      <c r="J351" s="2"/>
    </row>
    <row r="352" ht="15" customHeight="1" spans="1:10">
      <c r="A352" s="6"/>
      <c r="B352" s="18" t="str">
        <f t="shared" si="5"/>
        <v/>
      </c>
      <c r="C352" s="2"/>
      <c r="D352" s="2"/>
      <c r="E352" s="2"/>
      <c r="F352" s="2"/>
      <c r="G352" s="2"/>
      <c r="H352" s="2"/>
      <c r="I352" s="28"/>
      <c r="J352" s="2"/>
    </row>
    <row r="353" ht="15" customHeight="1" spans="1:10">
      <c r="A353" s="6"/>
      <c r="B353" s="18" t="str">
        <f t="shared" si="5"/>
        <v/>
      </c>
      <c r="C353" s="2"/>
      <c r="D353" s="2"/>
      <c r="E353" s="2"/>
      <c r="F353" s="2"/>
      <c r="G353" s="2"/>
      <c r="H353" s="2"/>
      <c r="I353" s="28"/>
      <c r="J353" s="2"/>
    </row>
    <row r="354" ht="15" customHeight="1" spans="1:10">
      <c r="A354" s="6"/>
      <c r="B354" s="18" t="str">
        <f t="shared" si="5"/>
        <v/>
      </c>
      <c r="C354" s="2"/>
      <c r="D354" s="2"/>
      <c r="E354" s="2"/>
      <c r="F354" s="2"/>
      <c r="G354" s="2"/>
      <c r="H354" s="2"/>
      <c r="I354" s="28"/>
      <c r="J354" s="2"/>
    </row>
    <row r="355" ht="15" customHeight="1" spans="1:10">
      <c r="A355" s="6"/>
      <c r="B355" s="18" t="str">
        <f t="shared" si="5"/>
        <v/>
      </c>
      <c r="C355" s="2"/>
      <c r="D355" s="2"/>
      <c r="E355" s="2"/>
      <c r="F355" s="2"/>
      <c r="G355" s="2"/>
      <c r="H355" s="2"/>
      <c r="I355" s="28"/>
      <c r="J355" s="2"/>
    </row>
    <row r="356" ht="15" customHeight="1" spans="1:10">
      <c r="A356" s="6"/>
      <c r="B356" s="18" t="str">
        <f t="shared" si="5"/>
        <v/>
      </c>
      <c r="C356" s="2"/>
      <c r="D356" s="2"/>
      <c r="E356" s="2"/>
      <c r="F356" s="2"/>
      <c r="G356" s="2"/>
      <c r="H356" s="2"/>
      <c r="I356" s="28"/>
      <c r="J356" s="2"/>
    </row>
    <row r="357" ht="15" customHeight="1" spans="1:10">
      <c r="A357" s="6"/>
      <c r="B357" s="18" t="str">
        <f t="shared" si="5"/>
        <v/>
      </c>
      <c r="C357" s="2"/>
      <c r="D357" s="2"/>
      <c r="E357" s="2"/>
      <c r="F357" s="2"/>
      <c r="G357" s="2"/>
      <c r="H357" s="2"/>
      <c r="I357" s="28"/>
      <c r="J357" s="2"/>
    </row>
    <row r="358" ht="15" customHeight="1" spans="1:10">
      <c r="A358" s="6"/>
      <c r="B358" s="18" t="str">
        <f t="shared" si="5"/>
        <v/>
      </c>
      <c r="C358" s="2"/>
      <c r="D358" s="2"/>
      <c r="E358" s="2"/>
      <c r="F358" s="2"/>
      <c r="G358" s="2"/>
      <c r="H358" s="2"/>
      <c r="I358" s="28"/>
      <c r="J358" s="2"/>
    </row>
    <row r="359" ht="15" customHeight="1" spans="1:10">
      <c r="A359" s="6"/>
      <c r="B359" s="18" t="str">
        <f t="shared" si="5"/>
        <v/>
      </c>
      <c r="C359" s="2"/>
      <c r="D359" s="2"/>
      <c r="E359" s="2"/>
      <c r="F359" s="2"/>
      <c r="G359" s="2"/>
      <c r="H359" s="2"/>
      <c r="I359" s="28"/>
      <c r="J359" s="2"/>
    </row>
    <row r="360" ht="15" customHeight="1" spans="1:10">
      <c r="A360" s="6"/>
      <c r="B360" s="18" t="str">
        <f t="shared" si="5"/>
        <v/>
      </c>
      <c r="C360" s="2"/>
      <c r="D360" s="2"/>
      <c r="E360" s="2"/>
      <c r="F360" s="2"/>
      <c r="G360" s="2"/>
      <c r="H360" s="2"/>
      <c r="I360" s="28"/>
      <c r="J360" s="2"/>
    </row>
    <row r="361" ht="15" customHeight="1" spans="1:10">
      <c r="A361" s="6"/>
      <c r="B361" s="18" t="str">
        <f t="shared" si="5"/>
        <v/>
      </c>
      <c r="C361" s="2"/>
      <c r="D361" s="2"/>
      <c r="E361" s="2"/>
      <c r="F361" s="2"/>
      <c r="G361" s="2"/>
      <c r="H361" s="2"/>
      <c r="I361" s="28"/>
      <c r="J361" s="2"/>
    </row>
    <row r="362" ht="15" customHeight="1" spans="1:10">
      <c r="A362" s="6"/>
      <c r="B362" s="18" t="str">
        <f t="shared" si="5"/>
        <v/>
      </c>
      <c r="C362" s="2"/>
      <c r="D362" s="2"/>
      <c r="E362" s="2"/>
      <c r="F362" s="2"/>
      <c r="G362" s="2"/>
      <c r="H362" s="2"/>
      <c r="I362" s="28"/>
      <c r="J362" s="2"/>
    </row>
    <row r="363" ht="15" customHeight="1" spans="1:10">
      <c r="A363" s="6"/>
      <c r="B363" s="18" t="str">
        <f t="shared" si="5"/>
        <v/>
      </c>
      <c r="C363" s="2"/>
      <c r="D363" s="2"/>
      <c r="E363" s="2"/>
      <c r="F363" s="2"/>
      <c r="G363" s="2"/>
      <c r="H363" s="2"/>
      <c r="I363" s="28"/>
      <c r="J363" s="2"/>
    </row>
    <row r="364" ht="15" customHeight="1" spans="1:10">
      <c r="A364" s="6"/>
      <c r="B364" s="18" t="str">
        <f t="shared" si="5"/>
        <v/>
      </c>
      <c r="C364" s="2"/>
      <c r="D364" s="2"/>
      <c r="E364" s="2"/>
      <c r="F364" s="2"/>
      <c r="G364" s="2"/>
      <c r="H364" s="2"/>
      <c r="I364" s="28"/>
      <c r="J364" s="2"/>
    </row>
    <row r="365" ht="15" customHeight="1" spans="1:10">
      <c r="A365" s="6"/>
      <c r="B365" s="18" t="str">
        <f t="shared" si="5"/>
        <v/>
      </c>
      <c r="C365" s="2"/>
      <c r="D365" s="2"/>
      <c r="E365" s="2"/>
      <c r="F365" s="2"/>
      <c r="G365" s="2"/>
      <c r="H365" s="2"/>
      <c r="I365" s="28"/>
      <c r="J365" s="2"/>
    </row>
    <row r="366" ht="15" customHeight="1" spans="1:10">
      <c r="A366" s="6"/>
      <c r="B366" s="18" t="str">
        <f t="shared" si="5"/>
        <v/>
      </c>
      <c r="C366" s="2"/>
      <c r="D366" s="2"/>
      <c r="E366" s="2"/>
      <c r="F366" s="2"/>
      <c r="G366" s="2"/>
      <c r="H366" s="2"/>
      <c r="I366" s="28"/>
      <c r="J366" s="2"/>
    </row>
    <row r="367" ht="15" customHeight="1" spans="1:10">
      <c r="A367" s="6"/>
      <c r="B367" s="18" t="str">
        <f t="shared" si="5"/>
        <v/>
      </c>
      <c r="C367" s="2"/>
      <c r="D367" s="2"/>
      <c r="E367" s="2"/>
      <c r="F367" s="2"/>
      <c r="G367" s="2"/>
      <c r="H367" s="2"/>
      <c r="I367" s="28"/>
      <c r="J367" s="2"/>
    </row>
    <row r="368" ht="15" customHeight="1" spans="1:10">
      <c r="A368" s="6"/>
      <c r="B368" s="18" t="str">
        <f t="shared" si="5"/>
        <v/>
      </c>
      <c r="C368" s="2"/>
      <c r="D368" s="2"/>
      <c r="E368" s="2"/>
      <c r="F368" s="2"/>
      <c r="G368" s="2"/>
      <c r="H368" s="2"/>
      <c r="I368" s="28"/>
      <c r="J368" s="2"/>
    </row>
    <row r="369" ht="15" customHeight="1" spans="1:10">
      <c r="A369" s="6"/>
      <c r="B369" s="18" t="str">
        <f t="shared" si="5"/>
        <v/>
      </c>
      <c r="C369" s="2"/>
      <c r="D369" s="2"/>
      <c r="E369" s="2"/>
      <c r="F369" s="2"/>
      <c r="G369" s="2"/>
      <c r="H369" s="2"/>
      <c r="I369" s="28"/>
      <c r="J369" s="2"/>
    </row>
    <row r="370" ht="15" customHeight="1" spans="1:10">
      <c r="A370" s="6"/>
      <c r="B370" s="18" t="str">
        <f t="shared" si="5"/>
        <v/>
      </c>
      <c r="C370" s="2"/>
      <c r="D370" s="2"/>
      <c r="E370" s="2"/>
      <c r="F370" s="2"/>
      <c r="G370" s="2"/>
      <c r="H370" s="2"/>
      <c r="I370" s="28"/>
      <c r="J370" s="2"/>
    </row>
    <row r="371" ht="15" customHeight="1" spans="1:10">
      <c r="A371" s="6"/>
      <c r="B371" s="18" t="str">
        <f t="shared" si="5"/>
        <v/>
      </c>
      <c r="C371" s="2"/>
      <c r="D371" s="2"/>
      <c r="E371" s="2"/>
      <c r="F371" s="2"/>
      <c r="G371" s="2"/>
      <c r="H371" s="2"/>
      <c r="I371" s="28"/>
      <c r="J371" s="2"/>
    </row>
    <row r="372" ht="15" customHeight="1" spans="1:10">
      <c r="A372" s="6"/>
      <c r="B372" s="18" t="str">
        <f t="shared" si="5"/>
        <v/>
      </c>
      <c r="C372" s="2"/>
      <c r="D372" s="2"/>
      <c r="E372" s="2"/>
      <c r="F372" s="2"/>
      <c r="G372" s="2"/>
      <c r="H372" s="2"/>
      <c r="I372" s="28"/>
      <c r="J372" s="2"/>
    </row>
    <row r="373" ht="15" customHeight="1" spans="1:10">
      <c r="A373" s="6"/>
      <c r="B373" s="18" t="str">
        <f t="shared" si="5"/>
        <v/>
      </c>
      <c r="C373" s="2"/>
      <c r="D373" s="2"/>
      <c r="E373" s="2"/>
      <c r="F373" s="2"/>
      <c r="G373" s="2"/>
      <c r="H373" s="2"/>
      <c r="I373" s="28"/>
      <c r="J373" s="2"/>
    </row>
    <row r="374" ht="15" customHeight="1" spans="1:10">
      <c r="A374" s="6"/>
      <c r="B374" s="18" t="str">
        <f t="shared" si="5"/>
        <v/>
      </c>
      <c r="C374" s="2"/>
      <c r="D374" s="2"/>
      <c r="E374" s="2"/>
      <c r="F374" s="2"/>
      <c r="G374" s="2"/>
      <c r="H374" s="2"/>
      <c r="I374" s="28"/>
      <c r="J374" s="2"/>
    </row>
    <row r="375" ht="15" customHeight="1" spans="1:10">
      <c r="A375" s="6"/>
      <c r="B375" s="18" t="str">
        <f t="shared" si="5"/>
        <v/>
      </c>
      <c r="C375" s="2"/>
      <c r="D375" s="2"/>
      <c r="E375" s="2"/>
      <c r="F375" s="2"/>
      <c r="G375" s="2"/>
      <c r="H375" s="2"/>
      <c r="I375" s="28"/>
      <c r="J375" s="2"/>
    </row>
    <row r="376" ht="15" customHeight="1" spans="1:10">
      <c r="A376" s="6"/>
      <c r="B376" s="18" t="str">
        <f t="shared" si="5"/>
        <v/>
      </c>
      <c r="C376" s="2"/>
      <c r="D376" s="2"/>
      <c r="E376" s="2"/>
      <c r="F376" s="2"/>
      <c r="G376" s="2"/>
      <c r="H376" s="2"/>
      <c r="I376" s="28"/>
      <c r="J376" s="2"/>
    </row>
    <row r="377" ht="15" customHeight="1" spans="1:10">
      <c r="A377" s="6"/>
      <c r="B377" s="18" t="str">
        <f t="shared" si="5"/>
        <v/>
      </c>
      <c r="C377" s="2"/>
      <c r="D377" s="2"/>
      <c r="E377" s="2"/>
      <c r="F377" s="2"/>
      <c r="G377" s="2"/>
      <c r="H377" s="2"/>
      <c r="I377" s="28"/>
      <c r="J377" s="2"/>
    </row>
    <row r="378" ht="15" customHeight="1" spans="1:10">
      <c r="A378" s="6"/>
      <c r="B378" s="18" t="str">
        <f t="shared" si="5"/>
        <v/>
      </c>
      <c r="C378" s="2"/>
      <c r="D378" s="2"/>
      <c r="E378" s="2"/>
      <c r="F378" s="2"/>
      <c r="G378" s="2"/>
      <c r="H378" s="2"/>
      <c r="I378" s="28"/>
      <c r="J378" s="2"/>
    </row>
    <row r="379" ht="15" customHeight="1" spans="1:10">
      <c r="A379" s="6"/>
      <c r="B379" s="18" t="str">
        <f t="shared" si="5"/>
        <v/>
      </c>
      <c r="C379" s="2"/>
      <c r="D379" s="2"/>
      <c r="E379" s="2"/>
      <c r="F379" s="2"/>
      <c r="G379" s="2"/>
      <c r="H379" s="2"/>
      <c r="I379" s="28"/>
      <c r="J379" s="2"/>
    </row>
    <row r="380" ht="15" customHeight="1" spans="1:10">
      <c r="A380" s="6"/>
      <c r="B380" s="18" t="str">
        <f t="shared" si="5"/>
        <v/>
      </c>
      <c r="C380" s="2"/>
      <c r="D380" s="2"/>
      <c r="E380" s="2"/>
      <c r="F380" s="2"/>
      <c r="G380" s="2"/>
      <c r="H380" s="2"/>
      <c r="I380" s="28"/>
      <c r="J380" s="2"/>
    </row>
    <row r="381" ht="15" customHeight="1" spans="1:10">
      <c r="A381" s="6"/>
      <c r="B381" s="18" t="str">
        <f t="shared" si="5"/>
        <v/>
      </c>
      <c r="C381" s="2"/>
      <c r="D381" s="2"/>
      <c r="E381" s="2"/>
      <c r="F381" s="2"/>
      <c r="G381" s="2"/>
      <c r="H381" s="2"/>
      <c r="I381" s="28"/>
      <c r="J381" s="2"/>
    </row>
    <row r="382" ht="15" customHeight="1" spans="1:10">
      <c r="A382" s="6"/>
      <c r="B382" s="18" t="str">
        <f t="shared" si="5"/>
        <v/>
      </c>
      <c r="C382" s="2"/>
      <c r="D382" s="2"/>
      <c r="E382" s="2"/>
      <c r="F382" s="2"/>
      <c r="G382" s="2"/>
      <c r="H382" s="2"/>
      <c r="I382" s="28"/>
      <c r="J382" s="2"/>
    </row>
    <row r="383" ht="15" customHeight="1" spans="1:10">
      <c r="A383" s="6"/>
      <c r="B383" s="18" t="str">
        <f t="shared" si="5"/>
        <v/>
      </c>
      <c r="C383" s="2"/>
      <c r="D383" s="2"/>
      <c r="E383" s="2"/>
      <c r="F383" s="2"/>
      <c r="G383" s="2"/>
      <c r="H383" s="2"/>
      <c r="I383" s="28"/>
      <c r="J383" s="2"/>
    </row>
    <row r="384" ht="15" customHeight="1" spans="1:10">
      <c r="A384" s="6"/>
      <c r="B384" s="18" t="str">
        <f t="shared" si="5"/>
        <v/>
      </c>
      <c r="C384" s="2"/>
      <c r="D384" s="2"/>
      <c r="E384" s="2"/>
      <c r="F384" s="2"/>
      <c r="G384" s="2"/>
      <c r="H384" s="2"/>
      <c r="I384" s="28"/>
      <c r="J384" s="2"/>
    </row>
    <row r="385" ht="15" customHeight="1" spans="1:10">
      <c r="A385" s="6"/>
      <c r="B385" s="18" t="str">
        <f t="shared" si="5"/>
        <v/>
      </c>
      <c r="C385" s="2"/>
      <c r="D385" s="2"/>
      <c r="E385" s="2"/>
      <c r="F385" s="2"/>
      <c r="G385" s="2"/>
      <c r="H385" s="2"/>
      <c r="I385" s="28"/>
      <c r="J385" s="2"/>
    </row>
    <row r="386" ht="15" customHeight="1" spans="1:10">
      <c r="A386" s="6"/>
      <c r="B386" s="18" t="str">
        <f t="shared" si="5"/>
        <v/>
      </c>
      <c r="C386" s="2"/>
      <c r="D386" s="2"/>
      <c r="E386" s="2"/>
      <c r="F386" s="2"/>
      <c r="G386" s="2"/>
      <c r="H386" s="2"/>
      <c r="I386" s="28"/>
      <c r="J386" s="2"/>
    </row>
    <row r="387" ht="15" customHeight="1" spans="1:10">
      <c r="A387" s="6"/>
      <c r="B387" s="18" t="str">
        <f t="shared" si="5"/>
        <v/>
      </c>
      <c r="C387" s="2"/>
      <c r="D387" s="2"/>
      <c r="E387" s="2"/>
      <c r="F387" s="2"/>
      <c r="G387" s="2"/>
      <c r="H387" s="2"/>
      <c r="I387" s="28"/>
      <c r="J387" s="2"/>
    </row>
    <row r="388" ht="15" customHeight="1" spans="1:10">
      <c r="A388" s="6"/>
      <c r="B388" s="18" t="str">
        <f t="shared" ref="B388:B451" si="6">IF(A388="","",DATE(YEAR(A388),MONTH(A388),1))</f>
        <v/>
      </c>
      <c r="C388" s="2"/>
      <c r="D388" s="2"/>
      <c r="E388" s="2"/>
      <c r="F388" s="2"/>
      <c r="G388" s="2"/>
      <c r="H388" s="2"/>
      <c r="I388" s="28"/>
      <c r="J388" s="2"/>
    </row>
    <row r="389" ht="15" customHeight="1" spans="1:10">
      <c r="A389" s="6"/>
      <c r="B389" s="18" t="str">
        <f t="shared" si="6"/>
        <v/>
      </c>
      <c r="C389" s="2"/>
      <c r="D389" s="2"/>
      <c r="E389" s="2"/>
      <c r="F389" s="2"/>
      <c r="G389" s="2"/>
      <c r="H389" s="2"/>
      <c r="I389" s="28"/>
      <c r="J389" s="2"/>
    </row>
    <row r="390" ht="15" customHeight="1" spans="1:10">
      <c r="A390" s="6"/>
      <c r="B390" s="18" t="str">
        <f t="shared" si="6"/>
        <v/>
      </c>
      <c r="C390" s="2"/>
      <c r="D390" s="2"/>
      <c r="E390" s="2"/>
      <c r="F390" s="2"/>
      <c r="G390" s="2"/>
      <c r="H390" s="2"/>
      <c r="I390" s="28"/>
      <c r="J390" s="2"/>
    </row>
    <row r="391" ht="15" customHeight="1" spans="1:10">
      <c r="A391" s="6"/>
      <c r="B391" s="18" t="str">
        <f t="shared" si="6"/>
        <v/>
      </c>
      <c r="C391" s="2"/>
      <c r="D391" s="2"/>
      <c r="E391" s="2"/>
      <c r="F391" s="2"/>
      <c r="G391" s="2"/>
      <c r="H391" s="2"/>
      <c r="I391" s="28"/>
      <c r="J391" s="2"/>
    </row>
    <row r="392" ht="15" customHeight="1" spans="1:10">
      <c r="A392" s="6"/>
      <c r="B392" s="18" t="str">
        <f t="shared" si="6"/>
        <v/>
      </c>
      <c r="C392" s="2"/>
      <c r="D392" s="2"/>
      <c r="E392" s="2"/>
      <c r="F392" s="2"/>
      <c r="G392" s="2"/>
      <c r="H392" s="2"/>
      <c r="I392" s="28"/>
      <c r="J392" s="2"/>
    </row>
    <row r="393" ht="15" customHeight="1" spans="1:10">
      <c r="A393" s="6"/>
      <c r="B393" s="18" t="str">
        <f t="shared" si="6"/>
        <v/>
      </c>
      <c r="C393" s="2"/>
      <c r="D393" s="2"/>
      <c r="E393" s="2"/>
      <c r="F393" s="2"/>
      <c r="G393" s="2"/>
      <c r="H393" s="2"/>
      <c r="I393" s="28"/>
      <c r="J393" s="2"/>
    </row>
    <row r="394" ht="15" customHeight="1" spans="1:10">
      <c r="A394" s="6"/>
      <c r="B394" s="18" t="str">
        <f t="shared" si="6"/>
        <v/>
      </c>
      <c r="C394" s="2"/>
      <c r="D394" s="2"/>
      <c r="E394" s="2"/>
      <c r="F394" s="2"/>
      <c r="G394" s="2"/>
      <c r="H394" s="2"/>
      <c r="I394" s="28"/>
      <c r="J394" s="2"/>
    </row>
    <row r="395" ht="15" customHeight="1" spans="1:10">
      <c r="A395" s="6"/>
      <c r="B395" s="18" t="str">
        <f t="shared" si="6"/>
        <v/>
      </c>
      <c r="C395" s="2"/>
      <c r="D395" s="2"/>
      <c r="E395" s="2"/>
      <c r="F395" s="2"/>
      <c r="G395" s="2"/>
      <c r="H395" s="2"/>
      <c r="I395" s="28"/>
      <c r="J395" s="2"/>
    </row>
    <row r="396" ht="15" customHeight="1" spans="1:10">
      <c r="A396" s="6"/>
      <c r="B396" s="18" t="str">
        <f t="shared" si="6"/>
        <v/>
      </c>
      <c r="C396" s="2"/>
      <c r="D396" s="2"/>
      <c r="E396" s="2"/>
      <c r="F396" s="2"/>
      <c r="G396" s="2"/>
      <c r="H396" s="2"/>
      <c r="I396" s="28"/>
      <c r="J396" s="2"/>
    </row>
    <row r="397" ht="15" customHeight="1" spans="1:10">
      <c r="A397" s="6"/>
      <c r="B397" s="18" t="str">
        <f t="shared" si="6"/>
        <v/>
      </c>
      <c r="C397" s="2"/>
      <c r="D397" s="2"/>
      <c r="E397" s="2"/>
      <c r="F397" s="2"/>
      <c r="G397" s="2"/>
      <c r="H397" s="2"/>
      <c r="I397" s="28"/>
      <c r="J397" s="2"/>
    </row>
    <row r="398" ht="15" customHeight="1" spans="1:10">
      <c r="A398" s="6"/>
      <c r="B398" s="18" t="str">
        <f t="shared" si="6"/>
        <v/>
      </c>
      <c r="C398" s="2"/>
      <c r="D398" s="2"/>
      <c r="E398" s="2"/>
      <c r="F398" s="2"/>
      <c r="G398" s="2"/>
      <c r="H398" s="2"/>
      <c r="I398" s="28"/>
      <c r="J398" s="2"/>
    </row>
    <row r="399" ht="15" customHeight="1" spans="1:10">
      <c r="A399" s="6"/>
      <c r="B399" s="18" t="str">
        <f t="shared" si="6"/>
        <v/>
      </c>
      <c r="C399" s="2"/>
      <c r="D399" s="2"/>
      <c r="E399" s="2"/>
      <c r="F399" s="2"/>
      <c r="G399" s="2"/>
      <c r="H399" s="2"/>
      <c r="I399" s="28"/>
      <c r="J399" s="2"/>
    </row>
    <row r="400" ht="15" customHeight="1" spans="1:10">
      <c r="A400" s="6"/>
      <c r="B400" s="18" t="str">
        <f t="shared" si="6"/>
        <v/>
      </c>
      <c r="C400" s="2"/>
      <c r="D400" s="2"/>
      <c r="E400" s="2"/>
      <c r="F400" s="2"/>
      <c r="G400" s="2"/>
      <c r="H400" s="2"/>
      <c r="I400" s="28"/>
      <c r="J400" s="2"/>
    </row>
    <row r="401" ht="15" customHeight="1" spans="1:10">
      <c r="A401" s="6"/>
      <c r="B401" s="18" t="str">
        <f t="shared" si="6"/>
        <v/>
      </c>
      <c r="C401" s="2"/>
      <c r="D401" s="2"/>
      <c r="E401" s="2"/>
      <c r="F401" s="2"/>
      <c r="G401" s="2"/>
      <c r="H401" s="2"/>
      <c r="I401" s="28"/>
      <c r="J401" s="2"/>
    </row>
    <row r="402" ht="15" customHeight="1" spans="1:10">
      <c r="A402" s="6"/>
      <c r="B402" s="18" t="str">
        <f t="shared" si="6"/>
        <v/>
      </c>
      <c r="C402" s="2"/>
      <c r="D402" s="2"/>
      <c r="E402" s="2"/>
      <c r="F402" s="2"/>
      <c r="G402" s="2"/>
      <c r="H402" s="2"/>
      <c r="I402" s="28"/>
      <c r="J402" s="2"/>
    </row>
    <row r="403" ht="15" customHeight="1" spans="1:10">
      <c r="A403" s="6"/>
      <c r="B403" s="18" t="str">
        <f t="shared" si="6"/>
        <v/>
      </c>
      <c r="C403" s="2"/>
      <c r="D403" s="2"/>
      <c r="E403" s="2"/>
      <c r="F403" s="2"/>
      <c r="G403" s="2"/>
      <c r="H403" s="2"/>
      <c r="I403" s="28"/>
      <c r="J403" s="2"/>
    </row>
    <row r="404" ht="15" customHeight="1" spans="1:10">
      <c r="A404" s="6"/>
      <c r="B404" s="18" t="str">
        <f t="shared" si="6"/>
        <v/>
      </c>
      <c r="C404" s="2"/>
      <c r="D404" s="2"/>
      <c r="E404" s="2"/>
      <c r="F404" s="2"/>
      <c r="G404" s="2"/>
      <c r="H404" s="2"/>
      <c r="I404" s="28"/>
      <c r="J404" s="2"/>
    </row>
    <row r="405" ht="15" customHeight="1" spans="1:10">
      <c r="A405" s="6"/>
      <c r="B405" s="18" t="str">
        <f t="shared" si="6"/>
        <v/>
      </c>
      <c r="C405" s="2"/>
      <c r="D405" s="2"/>
      <c r="E405" s="2"/>
      <c r="F405" s="2"/>
      <c r="G405" s="2"/>
      <c r="H405" s="2"/>
      <c r="I405" s="28"/>
      <c r="J405" s="2"/>
    </row>
    <row r="406" ht="15" customHeight="1" spans="1:10">
      <c r="A406" s="6"/>
      <c r="B406" s="18" t="str">
        <f t="shared" si="6"/>
        <v/>
      </c>
      <c r="C406" s="2"/>
      <c r="D406" s="2"/>
      <c r="E406" s="2"/>
      <c r="F406" s="2"/>
      <c r="G406" s="2"/>
      <c r="H406" s="2"/>
      <c r="I406" s="28"/>
      <c r="J406" s="2"/>
    </row>
    <row r="407" ht="15" customHeight="1" spans="1:10">
      <c r="A407" s="6"/>
      <c r="B407" s="18" t="str">
        <f t="shared" si="6"/>
        <v/>
      </c>
      <c r="C407" s="2"/>
      <c r="D407" s="2"/>
      <c r="E407" s="2"/>
      <c r="F407" s="2"/>
      <c r="G407" s="2"/>
      <c r="H407" s="2"/>
      <c r="I407" s="28"/>
      <c r="J407" s="2"/>
    </row>
    <row r="408" ht="15" customHeight="1" spans="1:10">
      <c r="A408" s="6"/>
      <c r="B408" s="18" t="str">
        <f t="shared" si="6"/>
        <v/>
      </c>
      <c r="C408" s="2"/>
      <c r="D408" s="2"/>
      <c r="E408" s="2"/>
      <c r="F408" s="2"/>
      <c r="G408" s="2"/>
      <c r="H408" s="2"/>
      <c r="I408" s="28"/>
      <c r="J408" s="2"/>
    </row>
    <row r="409" ht="15" customHeight="1" spans="1:10">
      <c r="A409" s="6"/>
      <c r="B409" s="18" t="str">
        <f t="shared" si="6"/>
        <v/>
      </c>
      <c r="C409" s="2"/>
      <c r="D409" s="2"/>
      <c r="E409" s="2"/>
      <c r="F409" s="2"/>
      <c r="G409" s="2"/>
      <c r="H409" s="2"/>
      <c r="I409" s="28"/>
      <c r="J409" s="2"/>
    </row>
    <row r="410" ht="15" customHeight="1" spans="1:10">
      <c r="A410" s="6"/>
      <c r="B410" s="18" t="str">
        <f t="shared" si="6"/>
        <v/>
      </c>
      <c r="C410" s="2"/>
      <c r="D410" s="2"/>
      <c r="E410" s="2"/>
      <c r="F410" s="2"/>
      <c r="G410" s="2"/>
      <c r="H410" s="2"/>
      <c r="I410" s="28"/>
      <c r="J410" s="2"/>
    </row>
    <row r="411" ht="15" customHeight="1" spans="1:10">
      <c r="A411" s="6"/>
      <c r="B411" s="18" t="str">
        <f t="shared" si="6"/>
        <v/>
      </c>
      <c r="C411" s="2"/>
      <c r="D411" s="2"/>
      <c r="E411" s="2"/>
      <c r="F411" s="2"/>
      <c r="G411" s="2"/>
      <c r="H411" s="2"/>
      <c r="I411" s="28"/>
      <c r="J411" s="2"/>
    </row>
    <row r="412" ht="15" customHeight="1" spans="1:10">
      <c r="A412" s="6"/>
      <c r="B412" s="18" t="str">
        <f t="shared" si="6"/>
        <v/>
      </c>
      <c r="C412" s="2"/>
      <c r="D412" s="2"/>
      <c r="E412" s="2"/>
      <c r="F412" s="2"/>
      <c r="G412" s="2"/>
      <c r="H412" s="2"/>
      <c r="I412" s="28"/>
      <c r="J412" s="2"/>
    </row>
    <row r="413" ht="15" customHeight="1" spans="1:10">
      <c r="A413" s="6"/>
      <c r="B413" s="18" t="str">
        <f t="shared" si="6"/>
        <v/>
      </c>
      <c r="C413" s="2"/>
      <c r="D413" s="2"/>
      <c r="E413" s="2"/>
      <c r="F413" s="2"/>
      <c r="G413" s="2"/>
      <c r="H413" s="2"/>
      <c r="I413" s="28"/>
      <c r="J413" s="2"/>
    </row>
    <row r="414" ht="15" customHeight="1" spans="1:10">
      <c r="A414" s="6"/>
      <c r="B414" s="18" t="str">
        <f t="shared" si="6"/>
        <v/>
      </c>
      <c r="C414" s="2"/>
      <c r="D414" s="2"/>
      <c r="E414" s="2"/>
      <c r="F414" s="2"/>
      <c r="G414" s="2"/>
      <c r="H414" s="2"/>
      <c r="I414" s="28"/>
      <c r="J414" s="2"/>
    </row>
    <row r="415" ht="15" customHeight="1" spans="1:10">
      <c r="A415" s="6"/>
      <c r="B415" s="18" t="str">
        <f t="shared" si="6"/>
        <v/>
      </c>
      <c r="C415" s="2"/>
      <c r="D415" s="2"/>
      <c r="E415" s="2"/>
      <c r="F415" s="2"/>
      <c r="G415" s="2"/>
      <c r="H415" s="2"/>
      <c r="I415" s="28"/>
      <c r="J415" s="2"/>
    </row>
    <row r="416" ht="15" customHeight="1" spans="1:10">
      <c r="A416" s="6"/>
      <c r="B416" s="18" t="str">
        <f t="shared" si="6"/>
        <v/>
      </c>
      <c r="C416" s="2"/>
      <c r="D416" s="2"/>
      <c r="E416" s="2"/>
      <c r="F416" s="2"/>
      <c r="G416" s="2"/>
      <c r="H416" s="2"/>
      <c r="I416" s="28"/>
      <c r="J416" s="2"/>
    </row>
    <row r="417" ht="15" customHeight="1" spans="1:10">
      <c r="A417" s="6"/>
      <c r="B417" s="18" t="str">
        <f t="shared" si="6"/>
        <v/>
      </c>
      <c r="C417" s="2"/>
      <c r="D417" s="2"/>
      <c r="E417" s="2"/>
      <c r="F417" s="2"/>
      <c r="G417" s="2"/>
      <c r="H417" s="2"/>
      <c r="I417" s="28"/>
      <c r="J417" s="2"/>
    </row>
    <row r="418" ht="15" customHeight="1" spans="1:10">
      <c r="A418" s="6"/>
      <c r="B418" s="18" t="str">
        <f t="shared" si="6"/>
        <v/>
      </c>
      <c r="C418" s="2"/>
      <c r="D418" s="2"/>
      <c r="E418" s="2"/>
      <c r="F418" s="2"/>
      <c r="G418" s="2"/>
      <c r="H418" s="2"/>
      <c r="I418" s="28"/>
      <c r="J418" s="2"/>
    </row>
    <row r="419" ht="15" customHeight="1" spans="1:10">
      <c r="A419" s="6"/>
      <c r="B419" s="18" t="str">
        <f t="shared" si="6"/>
        <v/>
      </c>
      <c r="C419" s="2"/>
      <c r="D419" s="2"/>
      <c r="E419" s="2"/>
      <c r="F419" s="2"/>
      <c r="G419" s="2"/>
      <c r="H419" s="2"/>
      <c r="I419" s="28"/>
      <c r="J419" s="2"/>
    </row>
    <row r="420" ht="15" customHeight="1" spans="1:10">
      <c r="A420" s="6"/>
      <c r="B420" s="18" t="str">
        <f t="shared" si="6"/>
        <v/>
      </c>
      <c r="C420" s="2"/>
      <c r="D420" s="2"/>
      <c r="E420" s="2"/>
      <c r="F420" s="2"/>
      <c r="G420" s="2"/>
      <c r="H420" s="2"/>
      <c r="I420" s="28"/>
      <c r="J420" s="2"/>
    </row>
    <row r="421" ht="15" customHeight="1" spans="1:10">
      <c r="A421" s="6"/>
      <c r="B421" s="18" t="str">
        <f t="shared" si="6"/>
        <v/>
      </c>
      <c r="C421" s="2"/>
      <c r="D421" s="2"/>
      <c r="E421" s="2"/>
      <c r="F421" s="2"/>
      <c r="G421" s="2"/>
      <c r="H421" s="2"/>
      <c r="I421" s="28"/>
      <c r="J421" s="2"/>
    </row>
    <row r="422" ht="15" customHeight="1" spans="1:10">
      <c r="A422" s="6"/>
      <c r="B422" s="18" t="str">
        <f t="shared" si="6"/>
        <v/>
      </c>
      <c r="C422" s="2"/>
      <c r="D422" s="2"/>
      <c r="E422" s="2"/>
      <c r="F422" s="2"/>
      <c r="G422" s="2"/>
      <c r="H422" s="2"/>
      <c r="I422" s="28"/>
      <c r="J422" s="2"/>
    </row>
    <row r="423" ht="15" customHeight="1" spans="1:10">
      <c r="A423" s="6"/>
      <c r="B423" s="18" t="str">
        <f t="shared" si="6"/>
        <v/>
      </c>
      <c r="C423" s="2"/>
      <c r="D423" s="2"/>
      <c r="E423" s="2"/>
      <c r="F423" s="2"/>
      <c r="G423" s="2"/>
      <c r="H423" s="2"/>
      <c r="I423" s="28"/>
      <c r="J423" s="2"/>
    </row>
    <row r="424" ht="15" customHeight="1" spans="1:10">
      <c r="A424" s="6"/>
      <c r="B424" s="18" t="str">
        <f t="shared" si="6"/>
        <v/>
      </c>
      <c r="C424" s="2"/>
      <c r="D424" s="2"/>
      <c r="E424" s="2"/>
      <c r="F424" s="2"/>
      <c r="G424" s="2"/>
      <c r="H424" s="2"/>
      <c r="I424" s="28"/>
      <c r="J424" s="2"/>
    </row>
    <row r="425" ht="15" customHeight="1" spans="1:10">
      <c r="A425" s="6"/>
      <c r="B425" s="18" t="str">
        <f t="shared" si="6"/>
        <v/>
      </c>
      <c r="C425" s="2"/>
      <c r="D425" s="2"/>
      <c r="E425" s="2"/>
      <c r="F425" s="2"/>
      <c r="G425" s="2"/>
      <c r="H425" s="2"/>
      <c r="I425" s="28"/>
      <c r="J425" s="2"/>
    </row>
    <row r="426" ht="15" customHeight="1" spans="1:10">
      <c r="A426" s="6"/>
      <c r="B426" s="18" t="str">
        <f t="shared" si="6"/>
        <v/>
      </c>
      <c r="C426" s="2"/>
      <c r="D426" s="2"/>
      <c r="E426" s="2"/>
      <c r="F426" s="2"/>
      <c r="G426" s="2"/>
      <c r="H426" s="2"/>
      <c r="I426" s="28"/>
      <c r="J426" s="2"/>
    </row>
    <row r="427" ht="15" customHeight="1" spans="1:10">
      <c r="A427" s="6"/>
      <c r="B427" s="18" t="str">
        <f t="shared" si="6"/>
        <v/>
      </c>
      <c r="C427" s="2"/>
      <c r="D427" s="2"/>
      <c r="E427" s="2"/>
      <c r="F427" s="2"/>
      <c r="G427" s="2"/>
      <c r="H427" s="2"/>
      <c r="I427" s="28"/>
      <c r="J427" s="2"/>
    </row>
    <row r="428" ht="15" customHeight="1" spans="1:10">
      <c r="A428" s="6"/>
      <c r="B428" s="18" t="str">
        <f t="shared" si="6"/>
        <v/>
      </c>
      <c r="C428" s="2"/>
      <c r="D428" s="2"/>
      <c r="E428" s="2"/>
      <c r="F428" s="2"/>
      <c r="G428" s="2"/>
      <c r="H428" s="2"/>
      <c r="I428" s="28"/>
      <c r="J428" s="2"/>
    </row>
    <row r="429" ht="15" customHeight="1" spans="1:10">
      <c r="A429" s="6"/>
      <c r="B429" s="18" t="str">
        <f t="shared" si="6"/>
        <v/>
      </c>
      <c r="C429" s="2"/>
      <c r="D429" s="2"/>
      <c r="E429" s="2"/>
      <c r="F429" s="2"/>
      <c r="G429" s="2"/>
      <c r="H429" s="2"/>
      <c r="I429" s="28"/>
      <c r="J429" s="2"/>
    </row>
    <row r="430" ht="15" customHeight="1" spans="1:10">
      <c r="A430" s="6"/>
      <c r="B430" s="18" t="str">
        <f t="shared" si="6"/>
        <v/>
      </c>
      <c r="C430" s="2"/>
      <c r="D430" s="2"/>
      <c r="E430" s="2"/>
      <c r="F430" s="2"/>
      <c r="G430" s="2"/>
      <c r="H430" s="2"/>
      <c r="I430" s="28"/>
      <c r="J430" s="2"/>
    </row>
    <row r="431" ht="15" customHeight="1" spans="1:10">
      <c r="A431" s="6"/>
      <c r="B431" s="18" t="str">
        <f t="shared" si="6"/>
        <v/>
      </c>
      <c r="C431" s="2"/>
      <c r="D431" s="2"/>
      <c r="E431" s="2"/>
      <c r="F431" s="2"/>
      <c r="G431" s="2"/>
      <c r="H431" s="2"/>
      <c r="I431" s="28"/>
      <c r="J431" s="2"/>
    </row>
    <row r="432" ht="15" customHeight="1" spans="1:10">
      <c r="A432" s="6"/>
      <c r="B432" s="18" t="str">
        <f t="shared" si="6"/>
        <v/>
      </c>
      <c r="C432" s="2"/>
      <c r="D432" s="2"/>
      <c r="E432" s="2"/>
      <c r="F432" s="2"/>
      <c r="G432" s="2"/>
      <c r="H432" s="2"/>
      <c r="I432" s="28"/>
      <c r="J432" s="2"/>
    </row>
    <row r="433" ht="15" customHeight="1" spans="1:10">
      <c r="A433" s="6"/>
      <c r="B433" s="18" t="str">
        <f t="shared" si="6"/>
        <v/>
      </c>
      <c r="C433" s="2"/>
      <c r="D433" s="2"/>
      <c r="E433" s="2"/>
      <c r="F433" s="2"/>
      <c r="G433" s="2"/>
      <c r="H433" s="2"/>
      <c r="I433" s="28"/>
      <c r="J433" s="2"/>
    </row>
    <row r="434" ht="15" customHeight="1" spans="1:10">
      <c r="A434" s="6"/>
      <c r="B434" s="18" t="str">
        <f t="shared" si="6"/>
        <v/>
      </c>
      <c r="C434" s="2"/>
      <c r="D434" s="2"/>
      <c r="E434" s="2"/>
      <c r="F434" s="2"/>
      <c r="G434" s="2"/>
      <c r="H434" s="2"/>
      <c r="I434" s="28"/>
      <c r="J434" s="2"/>
    </row>
    <row r="435" ht="15" customHeight="1" spans="1:10">
      <c r="A435" s="6"/>
      <c r="B435" s="18" t="str">
        <f t="shared" si="6"/>
        <v/>
      </c>
      <c r="C435" s="2"/>
      <c r="D435" s="2"/>
      <c r="E435" s="2"/>
      <c r="F435" s="2"/>
      <c r="G435" s="2"/>
      <c r="H435" s="2"/>
      <c r="I435" s="28"/>
      <c r="J435" s="2"/>
    </row>
    <row r="436" ht="15" customHeight="1" spans="1:10">
      <c r="A436" s="6"/>
      <c r="B436" s="18" t="str">
        <f t="shared" si="6"/>
        <v/>
      </c>
      <c r="C436" s="2"/>
      <c r="D436" s="2"/>
      <c r="E436" s="2"/>
      <c r="F436" s="2"/>
      <c r="G436" s="2"/>
      <c r="H436" s="2"/>
      <c r="I436" s="28"/>
      <c r="J436" s="2"/>
    </row>
    <row r="437" ht="15" customHeight="1" spans="1:10">
      <c r="A437" s="6"/>
      <c r="B437" s="18" t="str">
        <f t="shared" si="6"/>
        <v/>
      </c>
      <c r="C437" s="2"/>
      <c r="D437" s="2"/>
      <c r="E437" s="2"/>
      <c r="F437" s="2"/>
      <c r="G437" s="2"/>
      <c r="H437" s="2"/>
      <c r="I437" s="28"/>
      <c r="J437" s="2"/>
    </row>
    <row r="438" ht="15" customHeight="1" spans="1:10">
      <c r="A438" s="6"/>
      <c r="B438" s="18" t="str">
        <f t="shared" si="6"/>
        <v/>
      </c>
      <c r="C438" s="2"/>
      <c r="D438" s="2"/>
      <c r="E438" s="2"/>
      <c r="F438" s="2"/>
      <c r="G438" s="2"/>
      <c r="H438" s="2"/>
      <c r="I438" s="28"/>
      <c r="J438" s="2"/>
    </row>
    <row r="439" ht="15" customHeight="1" spans="1:10">
      <c r="A439" s="6"/>
      <c r="B439" s="18" t="str">
        <f t="shared" si="6"/>
        <v/>
      </c>
      <c r="C439" s="2"/>
      <c r="D439" s="2"/>
      <c r="E439" s="2"/>
      <c r="F439" s="2"/>
      <c r="G439" s="2"/>
      <c r="H439" s="2"/>
      <c r="I439" s="28"/>
      <c r="J439" s="2"/>
    </row>
    <row r="440" ht="15" customHeight="1" spans="1:10">
      <c r="A440" s="6"/>
      <c r="B440" s="18" t="str">
        <f t="shared" si="6"/>
        <v/>
      </c>
      <c r="C440" s="2"/>
      <c r="D440" s="2"/>
      <c r="E440" s="2"/>
      <c r="F440" s="2"/>
      <c r="G440" s="2"/>
      <c r="H440" s="2"/>
      <c r="I440" s="28"/>
      <c r="J440" s="2"/>
    </row>
    <row r="441" ht="15" customHeight="1" spans="1:10">
      <c r="A441" s="6"/>
      <c r="B441" s="18" t="str">
        <f t="shared" si="6"/>
        <v/>
      </c>
      <c r="C441" s="2"/>
      <c r="D441" s="2"/>
      <c r="E441" s="2"/>
      <c r="F441" s="2"/>
      <c r="G441" s="2"/>
      <c r="H441" s="2"/>
      <c r="I441" s="28"/>
      <c r="J441" s="2"/>
    </row>
    <row r="442" ht="15" customHeight="1" spans="1:10">
      <c r="A442" s="6"/>
      <c r="B442" s="18" t="str">
        <f t="shared" si="6"/>
        <v/>
      </c>
      <c r="C442" s="2"/>
      <c r="D442" s="2"/>
      <c r="E442" s="2"/>
      <c r="F442" s="2"/>
      <c r="G442" s="2"/>
      <c r="H442" s="2"/>
      <c r="I442" s="28"/>
      <c r="J442" s="2"/>
    </row>
    <row r="443" ht="15" customHeight="1" spans="1:10">
      <c r="A443" s="6"/>
      <c r="B443" s="18" t="str">
        <f t="shared" si="6"/>
        <v/>
      </c>
      <c r="C443" s="2"/>
      <c r="D443" s="2"/>
      <c r="E443" s="2"/>
      <c r="F443" s="2"/>
      <c r="G443" s="2"/>
      <c r="H443" s="2"/>
      <c r="I443" s="28"/>
      <c r="J443" s="2"/>
    </row>
    <row r="444" ht="15" customHeight="1" spans="1:10">
      <c r="A444" s="6"/>
      <c r="B444" s="18" t="str">
        <f t="shared" si="6"/>
        <v/>
      </c>
      <c r="C444" s="2"/>
      <c r="D444" s="2"/>
      <c r="E444" s="2"/>
      <c r="F444" s="2"/>
      <c r="G444" s="2"/>
      <c r="H444" s="2"/>
      <c r="I444" s="28"/>
      <c r="J444" s="2"/>
    </row>
    <row r="445" ht="15" customHeight="1" spans="1:10">
      <c r="A445" s="6"/>
      <c r="B445" s="18" t="str">
        <f t="shared" si="6"/>
        <v/>
      </c>
      <c r="C445" s="2"/>
      <c r="D445" s="2"/>
      <c r="E445" s="2"/>
      <c r="F445" s="2"/>
      <c r="G445" s="2"/>
      <c r="H445" s="2"/>
      <c r="I445" s="28"/>
      <c r="J445" s="2"/>
    </row>
    <row r="446" ht="15" customHeight="1" spans="1:10">
      <c r="A446" s="6"/>
      <c r="B446" s="18" t="str">
        <f t="shared" si="6"/>
        <v/>
      </c>
      <c r="C446" s="2"/>
      <c r="D446" s="2"/>
      <c r="E446" s="2"/>
      <c r="F446" s="2"/>
      <c r="G446" s="2"/>
      <c r="H446" s="2"/>
      <c r="I446" s="28"/>
      <c r="J446" s="2"/>
    </row>
    <row r="447" ht="15" customHeight="1" spans="1:10">
      <c r="A447" s="6"/>
      <c r="B447" s="18" t="str">
        <f t="shared" si="6"/>
        <v/>
      </c>
      <c r="C447" s="2"/>
      <c r="D447" s="2"/>
      <c r="E447" s="2"/>
      <c r="F447" s="2"/>
      <c r="G447" s="2"/>
      <c r="H447" s="2"/>
      <c r="I447" s="28"/>
      <c r="J447" s="2"/>
    </row>
    <row r="448" ht="15" customHeight="1" spans="1:10">
      <c r="A448" s="6"/>
      <c r="B448" s="18" t="str">
        <f t="shared" si="6"/>
        <v/>
      </c>
      <c r="C448" s="2"/>
      <c r="D448" s="2"/>
      <c r="E448" s="2"/>
      <c r="F448" s="2"/>
      <c r="G448" s="2"/>
      <c r="H448" s="2"/>
      <c r="I448" s="28"/>
      <c r="J448" s="2"/>
    </row>
    <row r="449" ht="15" customHeight="1" spans="1:10">
      <c r="A449" s="6"/>
      <c r="B449" s="18" t="str">
        <f t="shared" si="6"/>
        <v/>
      </c>
      <c r="C449" s="2"/>
      <c r="D449" s="2"/>
      <c r="E449" s="2"/>
      <c r="F449" s="2"/>
      <c r="G449" s="2"/>
      <c r="H449" s="2"/>
      <c r="I449" s="28"/>
      <c r="J449" s="2"/>
    </row>
    <row r="450" ht="15" customHeight="1" spans="1:10">
      <c r="A450" s="6"/>
      <c r="B450" s="18" t="str">
        <f t="shared" si="6"/>
        <v/>
      </c>
      <c r="C450" s="2"/>
      <c r="D450" s="2"/>
      <c r="E450" s="2"/>
      <c r="F450" s="2"/>
      <c r="G450" s="2"/>
      <c r="H450" s="2"/>
      <c r="I450" s="28"/>
      <c r="J450" s="2"/>
    </row>
    <row r="451" ht="15" customHeight="1" spans="1:10">
      <c r="A451" s="6"/>
      <c r="B451" s="18" t="str">
        <f t="shared" si="6"/>
        <v/>
      </c>
      <c r="C451" s="2"/>
      <c r="D451" s="2"/>
      <c r="E451" s="2"/>
      <c r="F451" s="2"/>
      <c r="G451" s="2"/>
      <c r="H451" s="2"/>
      <c r="I451" s="28"/>
      <c r="J451" s="2"/>
    </row>
    <row r="452" ht="15" customHeight="1" spans="1:10">
      <c r="A452" s="6"/>
      <c r="B452" s="18" t="str">
        <f t="shared" ref="B452:B503" si="7">IF(A452="","",DATE(YEAR(A452),MONTH(A452),1))</f>
        <v/>
      </c>
      <c r="C452" s="2"/>
      <c r="D452" s="2"/>
      <c r="E452" s="2"/>
      <c r="F452" s="2"/>
      <c r="G452" s="2"/>
      <c r="H452" s="2"/>
      <c r="I452" s="28"/>
      <c r="J452" s="2"/>
    </row>
    <row r="453" ht="15" customHeight="1" spans="1:10">
      <c r="A453" s="6"/>
      <c r="B453" s="18" t="str">
        <f t="shared" si="7"/>
        <v/>
      </c>
      <c r="C453" s="2"/>
      <c r="D453" s="2"/>
      <c r="E453" s="2"/>
      <c r="F453" s="2"/>
      <c r="G453" s="2"/>
      <c r="H453" s="2"/>
      <c r="I453" s="28"/>
      <c r="J453" s="2"/>
    </row>
    <row r="454" ht="15" customHeight="1" spans="1:10">
      <c r="A454" s="6"/>
      <c r="B454" s="18" t="str">
        <f t="shared" si="7"/>
        <v/>
      </c>
      <c r="C454" s="2"/>
      <c r="D454" s="2"/>
      <c r="E454" s="2"/>
      <c r="F454" s="2"/>
      <c r="G454" s="2"/>
      <c r="H454" s="2"/>
      <c r="I454" s="28"/>
      <c r="J454" s="2"/>
    </row>
    <row r="455" ht="15" customHeight="1" spans="1:10">
      <c r="A455" s="6"/>
      <c r="B455" s="18" t="str">
        <f t="shared" si="7"/>
        <v/>
      </c>
      <c r="C455" s="2"/>
      <c r="D455" s="2"/>
      <c r="E455" s="2"/>
      <c r="F455" s="2"/>
      <c r="G455" s="2"/>
      <c r="H455" s="2"/>
      <c r="I455" s="28"/>
      <c r="J455" s="2"/>
    </row>
    <row r="456" ht="15" customHeight="1" spans="1:10">
      <c r="A456" s="6"/>
      <c r="B456" s="18" t="str">
        <f t="shared" si="7"/>
        <v/>
      </c>
      <c r="C456" s="2"/>
      <c r="D456" s="2"/>
      <c r="E456" s="2"/>
      <c r="F456" s="2"/>
      <c r="G456" s="2"/>
      <c r="H456" s="2"/>
      <c r="I456" s="28"/>
      <c r="J456" s="2"/>
    </row>
    <row r="457" ht="15" customHeight="1" spans="1:10">
      <c r="A457" s="6"/>
      <c r="B457" s="18" t="str">
        <f t="shared" si="7"/>
        <v/>
      </c>
      <c r="C457" s="2"/>
      <c r="D457" s="2"/>
      <c r="E457" s="2"/>
      <c r="F457" s="2"/>
      <c r="G457" s="2"/>
      <c r="H457" s="2"/>
      <c r="I457" s="28"/>
      <c r="J457" s="2"/>
    </row>
    <row r="458" ht="15" customHeight="1" spans="1:10">
      <c r="A458" s="6"/>
      <c r="B458" s="18" t="str">
        <f t="shared" si="7"/>
        <v/>
      </c>
      <c r="C458" s="2"/>
      <c r="D458" s="2"/>
      <c r="E458" s="2"/>
      <c r="F458" s="2"/>
      <c r="G458" s="2"/>
      <c r="H458" s="2"/>
      <c r="I458" s="28"/>
      <c r="J458" s="2"/>
    </row>
    <row r="459" ht="15" customHeight="1" spans="1:10">
      <c r="A459" s="6"/>
      <c r="B459" s="18" t="str">
        <f t="shared" si="7"/>
        <v/>
      </c>
      <c r="C459" s="2"/>
      <c r="D459" s="2"/>
      <c r="E459" s="2"/>
      <c r="F459" s="2"/>
      <c r="G459" s="2"/>
      <c r="H459" s="2"/>
      <c r="I459" s="28"/>
      <c r="J459" s="2"/>
    </row>
    <row r="460" ht="15" customHeight="1" spans="1:10">
      <c r="A460" s="6"/>
      <c r="B460" s="18" t="str">
        <f t="shared" si="7"/>
        <v/>
      </c>
      <c r="C460" s="2"/>
      <c r="D460" s="2"/>
      <c r="E460" s="2"/>
      <c r="F460" s="2"/>
      <c r="G460" s="2"/>
      <c r="H460" s="2"/>
      <c r="I460" s="28"/>
      <c r="J460" s="2"/>
    </row>
    <row r="461" ht="15" customHeight="1" spans="1:10">
      <c r="A461" s="6"/>
      <c r="B461" s="18" t="str">
        <f t="shared" si="7"/>
        <v/>
      </c>
      <c r="C461" s="2"/>
      <c r="D461" s="2"/>
      <c r="E461" s="2"/>
      <c r="F461" s="2"/>
      <c r="G461" s="2"/>
      <c r="H461" s="2"/>
      <c r="I461" s="28"/>
      <c r="J461" s="2"/>
    </row>
    <row r="462" ht="15" customHeight="1" spans="1:10">
      <c r="A462" s="6"/>
      <c r="B462" s="18" t="str">
        <f t="shared" si="7"/>
        <v/>
      </c>
      <c r="C462" s="2"/>
      <c r="D462" s="2"/>
      <c r="E462" s="2"/>
      <c r="F462" s="2"/>
      <c r="G462" s="2"/>
      <c r="H462" s="2"/>
      <c r="I462" s="28"/>
      <c r="J462" s="2"/>
    </row>
    <row r="463" ht="15" customHeight="1" spans="1:10">
      <c r="A463" s="6"/>
      <c r="B463" s="18" t="str">
        <f t="shared" si="7"/>
        <v/>
      </c>
      <c r="C463" s="2"/>
      <c r="D463" s="2"/>
      <c r="E463" s="2"/>
      <c r="F463" s="2"/>
      <c r="G463" s="2"/>
      <c r="H463" s="2"/>
      <c r="I463" s="28"/>
      <c r="J463" s="2"/>
    </row>
    <row r="464" ht="15" customHeight="1" spans="1:10">
      <c r="A464" s="6"/>
      <c r="B464" s="18" t="str">
        <f t="shared" si="7"/>
        <v/>
      </c>
      <c r="C464" s="2"/>
      <c r="D464" s="2"/>
      <c r="E464" s="2"/>
      <c r="F464" s="2"/>
      <c r="G464" s="2"/>
      <c r="H464" s="2"/>
      <c r="I464" s="28"/>
      <c r="J464" s="2"/>
    </row>
    <row r="465" ht="15" customHeight="1" spans="1:10">
      <c r="A465" s="6"/>
      <c r="B465" s="18" t="str">
        <f t="shared" si="7"/>
        <v/>
      </c>
      <c r="C465" s="2"/>
      <c r="D465" s="2"/>
      <c r="E465" s="2"/>
      <c r="F465" s="2"/>
      <c r="G465" s="2"/>
      <c r="H465" s="2"/>
      <c r="I465" s="28"/>
      <c r="J465" s="2"/>
    </row>
    <row r="466" ht="15" customHeight="1" spans="1:10">
      <c r="A466" s="6"/>
      <c r="B466" s="18" t="str">
        <f t="shared" si="7"/>
        <v/>
      </c>
      <c r="C466" s="2"/>
      <c r="D466" s="2"/>
      <c r="E466" s="2"/>
      <c r="F466" s="2"/>
      <c r="G466" s="2"/>
      <c r="H466" s="2"/>
      <c r="I466" s="28"/>
      <c r="J466" s="2"/>
    </row>
    <row r="467" ht="15" customHeight="1" spans="1:10">
      <c r="A467" s="6"/>
      <c r="B467" s="18" t="str">
        <f t="shared" si="7"/>
        <v/>
      </c>
      <c r="C467" s="2"/>
      <c r="D467" s="2"/>
      <c r="E467" s="2"/>
      <c r="F467" s="2"/>
      <c r="G467" s="2"/>
      <c r="H467" s="2"/>
      <c r="I467" s="28"/>
      <c r="J467" s="2"/>
    </row>
    <row r="468" ht="15" customHeight="1" spans="1:10">
      <c r="A468" s="6"/>
      <c r="B468" s="18" t="str">
        <f t="shared" si="7"/>
        <v/>
      </c>
      <c r="C468" s="2"/>
      <c r="D468" s="2"/>
      <c r="E468" s="2"/>
      <c r="F468" s="2"/>
      <c r="G468" s="2"/>
      <c r="H468" s="2"/>
      <c r="I468" s="28"/>
      <c r="J468" s="2"/>
    </row>
    <row r="469" ht="15" customHeight="1" spans="1:10">
      <c r="A469" s="6"/>
      <c r="B469" s="18" t="str">
        <f t="shared" si="7"/>
        <v/>
      </c>
      <c r="C469" s="2"/>
      <c r="D469" s="2"/>
      <c r="E469" s="2"/>
      <c r="F469" s="2"/>
      <c r="G469" s="2"/>
      <c r="H469" s="2"/>
      <c r="I469" s="28"/>
      <c r="J469" s="2"/>
    </row>
    <row r="470" ht="15" customHeight="1" spans="1:10">
      <c r="A470" s="6"/>
      <c r="B470" s="18" t="str">
        <f t="shared" si="7"/>
        <v/>
      </c>
      <c r="C470" s="2"/>
      <c r="D470" s="2"/>
      <c r="E470" s="2"/>
      <c r="F470" s="2"/>
      <c r="G470" s="2"/>
      <c r="H470" s="2"/>
      <c r="I470" s="28"/>
      <c r="J470" s="2"/>
    </row>
    <row r="471" ht="15" customHeight="1" spans="1:10">
      <c r="A471" s="6"/>
      <c r="B471" s="18" t="str">
        <f t="shared" si="7"/>
        <v/>
      </c>
      <c r="C471" s="2"/>
      <c r="D471" s="2"/>
      <c r="E471" s="2"/>
      <c r="F471" s="2"/>
      <c r="G471" s="2"/>
      <c r="H471" s="2"/>
      <c r="I471" s="28"/>
      <c r="J471" s="2"/>
    </row>
    <row r="472" ht="15" customHeight="1" spans="1:10">
      <c r="A472" s="6"/>
      <c r="B472" s="18" t="str">
        <f t="shared" si="7"/>
        <v/>
      </c>
      <c r="C472" s="2"/>
      <c r="D472" s="2"/>
      <c r="E472" s="2"/>
      <c r="F472" s="2"/>
      <c r="G472" s="2"/>
      <c r="H472" s="2"/>
      <c r="I472" s="28"/>
      <c r="J472" s="2"/>
    </row>
    <row r="473" ht="15" customHeight="1" spans="1:10">
      <c r="A473" s="6"/>
      <c r="B473" s="18" t="str">
        <f t="shared" si="7"/>
        <v/>
      </c>
      <c r="C473" s="2"/>
      <c r="D473" s="2"/>
      <c r="E473" s="2"/>
      <c r="F473" s="2"/>
      <c r="G473" s="2"/>
      <c r="H473" s="2"/>
      <c r="I473" s="28"/>
      <c r="J473" s="2"/>
    </row>
    <row r="474" ht="15" customHeight="1" spans="1:10">
      <c r="A474" s="6"/>
      <c r="B474" s="18" t="str">
        <f t="shared" si="7"/>
        <v/>
      </c>
      <c r="C474" s="2"/>
      <c r="D474" s="2"/>
      <c r="E474" s="2"/>
      <c r="F474" s="2"/>
      <c r="G474" s="2"/>
      <c r="H474" s="2"/>
      <c r="I474" s="28"/>
      <c r="J474" s="2"/>
    </row>
    <row r="475" ht="15" customHeight="1" spans="1:10">
      <c r="A475" s="6"/>
      <c r="B475" s="18" t="str">
        <f t="shared" si="7"/>
        <v/>
      </c>
      <c r="C475" s="2"/>
      <c r="D475" s="2"/>
      <c r="E475" s="2"/>
      <c r="F475" s="2"/>
      <c r="G475" s="2"/>
      <c r="H475" s="2"/>
      <c r="I475" s="28"/>
      <c r="J475" s="2"/>
    </row>
    <row r="476" ht="15" customHeight="1" spans="1:10">
      <c r="A476" s="6"/>
      <c r="B476" s="18" t="str">
        <f t="shared" si="7"/>
        <v/>
      </c>
      <c r="C476" s="2"/>
      <c r="D476" s="2"/>
      <c r="E476" s="2"/>
      <c r="F476" s="2"/>
      <c r="G476" s="2"/>
      <c r="H476" s="2"/>
      <c r="I476" s="28"/>
      <c r="J476" s="2"/>
    </row>
    <row r="477" ht="15" customHeight="1" spans="1:10">
      <c r="A477" s="6"/>
      <c r="B477" s="18" t="str">
        <f t="shared" si="7"/>
        <v/>
      </c>
      <c r="C477" s="2"/>
      <c r="D477" s="2"/>
      <c r="E477" s="2"/>
      <c r="F477" s="2"/>
      <c r="G477" s="2"/>
      <c r="H477" s="2"/>
      <c r="I477" s="28"/>
      <c r="J477" s="2"/>
    </row>
    <row r="478" ht="15" customHeight="1" spans="1:10">
      <c r="A478" s="6"/>
      <c r="B478" s="18" t="str">
        <f t="shared" si="7"/>
        <v/>
      </c>
      <c r="C478" s="2"/>
      <c r="D478" s="2"/>
      <c r="E478" s="2"/>
      <c r="F478" s="2"/>
      <c r="G478" s="2"/>
      <c r="H478" s="2"/>
      <c r="I478" s="28"/>
      <c r="J478" s="2"/>
    </row>
    <row r="479" ht="15" customHeight="1" spans="1:10">
      <c r="A479" s="6"/>
      <c r="B479" s="18" t="str">
        <f t="shared" si="7"/>
        <v/>
      </c>
      <c r="C479" s="2"/>
      <c r="D479" s="2"/>
      <c r="E479" s="2"/>
      <c r="F479" s="2"/>
      <c r="G479" s="2"/>
      <c r="H479" s="2"/>
      <c r="I479" s="28"/>
      <c r="J479" s="2"/>
    </row>
    <row r="480" ht="15" customHeight="1" spans="1:10">
      <c r="A480" s="6"/>
      <c r="B480" s="18" t="str">
        <f t="shared" si="7"/>
        <v/>
      </c>
      <c r="C480" s="2"/>
      <c r="D480" s="2"/>
      <c r="E480" s="2"/>
      <c r="F480" s="2"/>
      <c r="G480" s="2"/>
      <c r="H480" s="2"/>
      <c r="I480" s="28"/>
      <c r="J480" s="2"/>
    </row>
    <row r="481" ht="15" customHeight="1" spans="1:10">
      <c r="A481" s="6"/>
      <c r="B481" s="18" t="str">
        <f t="shared" si="7"/>
        <v/>
      </c>
      <c r="C481" s="2"/>
      <c r="D481" s="2"/>
      <c r="E481" s="2"/>
      <c r="F481" s="2"/>
      <c r="G481" s="2"/>
      <c r="H481" s="2"/>
      <c r="I481" s="28"/>
      <c r="J481" s="2"/>
    </row>
    <row r="482" ht="15" customHeight="1" spans="1:10">
      <c r="A482" s="6"/>
      <c r="B482" s="18" t="str">
        <f t="shared" si="7"/>
        <v/>
      </c>
      <c r="C482" s="2"/>
      <c r="D482" s="2"/>
      <c r="E482" s="2"/>
      <c r="F482" s="2"/>
      <c r="G482" s="2"/>
      <c r="H482" s="2"/>
      <c r="I482" s="28"/>
      <c r="J482" s="2"/>
    </row>
    <row r="483" ht="15" customHeight="1" spans="1:10">
      <c r="A483" s="6"/>
      <c r="B483" s="18" t="str">
        <f t="shared" si="7"/>
        <v/>
      </c>
      <c r="C483" s="2"/>
      <c r="D483" s="2"/>
      <c r="E483" s="2"/>
      <c r="F483" s="2"/>
      <c r="G483" s="2"/>
      <c r="H483" s="2"/>
      <c r="I483" s="28"/>
      <c r="J483" s="2"/>
    </row>
    <row r="484" ht="15" customHeight="1" spans="1:10">
      <c r="A484" s="6"/>
      <c r="B484" s="18" t="str">
        <f t="shared" si="7"/>
        <v/>
      </c>
      <c r="C484" s="2"/>
      <c r="D484" s="2"/>
      <c r="E484" s="2"/>
      <c r="F484" s="2"/>
      <c r="G484" s="2"/>
      <c r="H484" s="2"/>
      <c r="I484" s="28"/>
      <c r="J484" s="2"/>
    </row>
    <row r="485" ht="15" customHeight="1" spans="1:10">
      <c r="A485" s="6"/>
      <c r="B485" s="18" t="str">
        <f t="shared" si="7"/>
        <v/>
      </c>
      <c r="C485" s="2"/>
      <c r="D485" s="2"/>
      <c r="E485" s="2"/>
      <c r="F485" s="2"/>
      <c r="G485" s="2"/>
      <c r="H485" s="2"/>
      <c r="I485" s="28"/>
      <c r="J485" s="2"/>
    </row>
    <row r="486" ht="15" customHeight="1" spans="1:10">
      <c r="A486" s="6"/>
      <c r="B486" s="18" t="str">
        <f t="shared" si="7"/>
        <v/>
      </c>
      <c r="C486" s="2"/>
      <c r="D486" s="2"/>
      <c r="E486" s="2"/>
      <c r="F486" s="2"/>
      <c r="G486" s="2"/>
      <c r="H486" s="2"/>
      <c r="I486" s="28"/>
      <c r="J486" s="2"/>
    </row>
    <row r="487" ht="15" customHeight="1" spans="1:10">
      <c r="A487" s="6"/>
      <c r="B487" s="18" t="str">
        <f t="shared" si="7"/>
        <v/>
      </c>
      <c r="C487" s="2"/>
      <c r="D487" s="2"/>
      <c r="E487" s="2"/>
      <c r="F487" s="2"/>
      <c r="G487" s="2"/>
      <c r="H487" s="2"/>
      <c r="I487" s="28"/>
      <c r="J487" s="2"/>
    </row>
    <row r="488" ht="15" customHeight="1" spans="1:10">
      <c r="A488" s="6"/>
      <c r="B488" s="18" t="str">
        <f t="shared" si="7"/>
        <v/>
      </c>
      <c r="C488" s="2"/>
      <c r="D488" s="2"/>
      <c r="E488" s="2"/>
      <c r="F488" s="2"/>
      <c r="G488" s="2"/>
      <c r="H488" s="2"/>
      <c r="I488" s="28"/>
      <c r="J488" s="2"/>
    </row>
    <row r="489" ht="15" customHeight="1" spans="1:10">
      <c r="A489" s="6"/>
      <c r="B489" s="18" t="str">
        <f t="shared" si="7"/>
        <v/>
      </c>
      <c r="C489" s="2"/>
      <c r="D489" s="2"/>
      <c r="E489" s="2"/>
      <c r="F489" s="2"/>
      <c r="G489" s="2"/>
      <c r="H489" s="2"/>
      <c r="I489" s="28"/>
      <c r="J489" s="2"/>
    </row>
    <row r="490" ht="15" customHeight="1" spans="1:10">
      <c r="A490" s="6"/>
      <c r="B490" s="18" t="str">
        <f t="shared" si="7"/>
        <v/>
      </c>
      <c r="C490" s="2"/>
      <c r="D490" s="2"/>
      <c r="E490" s="2"/>
      <c r="F490" s="2"/>
      <c r="G490" s="2"/>
      <c r="H490" s="2"/>
      <c r="I490" s="28"/>
      <c r="J490" s="2"/>
    </row>
    <row r="491" ht="15" customHeight="1" spans="1:10">
      <c r="A491" s="6"/>
      <c r="B491" s="18" t="str">
        <f t="shared" si="7"/>
        <v/>
      </c>
      <c r="C491" s="2"/>
      <c r="D491" s="2"/>
      <c r="E491" s="2"/>
      <c r="F491" s="2"/>
      <c r="G491" s="2"/>
      <c r="H491" s="2"/>
      <c r="I491" s="28"/>
      <c r="J491" s="2"/>
    </row>
    <row r="492" ht="15" customHeight="1" spans="1:10">
      <c r="A492" s="6"/>
      <c r="B492" s="18" t="str">
        <f t="shared" si="7"/>
        <v/>
      </c>
      <c r="C492" s="2"/>
      <c r="D492" s="2"/>
      <c r="E492" s="2"/>
      <c r="F492" s="2"/>
      <c r="G492" s="2"/>
      <c r="H492" s="2"/>
      <c r="I492" s="28"/>
      <c r="J492" s="2"/>
    </row>
    <row r="493" ht="15" customHeight="1" spans="1:10">
      <c r="A493" s="6"/>
      <c r="B493" s="18" t="str">
        <f t="shared" si="7"/>
        <v/>
      </c>
      <c r="C493" s="2"/>
      <c r="D493" s="2"/>
      <c r="E493" s="2"/>
      <c r="F493" s="2"/>
      <c r="G493" s="2"/>
      <c r="H493" s="2"/>
      <c r="I493" s="28"/>
      <c r="J493" s="2"/>
    </row>
    <row r="494" ht="15" customHeight="1" spans="1:10">
      <c r="A494" s="6"/>
      <c r="B494" s="18" t="str">
        <f t="shared" si="7"/>
        <v/>
      </c>
      <c r="C494" s="2"/>
      <c r="D494" s="2"/>
      <c r="E494" s="2"/>
      <c r="F494" s="2"/>
      <c r="G494" s="2"/>
      <c r="H494" s="2"/>
      <c r="I494" s="28"/>
      <c r="J494" s="2"/>
    </row>
    <row r="495" ht="15" customHeight="1" spans="1:10">
      <c r="A495" s="6"/>
      <c r="B495" s="18" t="str">
        <f t="shared" si="7"/>
        <v/>
      </c>
      <c r="C495" s="2"/>
      <c r="D495" s="2"/>
      <c r="E495" s="2"/>
      <c r="F495" s="2"/>
      <c r="G495" s="2"/>
      <c r="H495" s="2"/>
      <c r="I495" s="28"/>
      <c r="J495" s="2"/>
    </row>
    <row r="496" ht="15" customHeight="1" spans="1:10">
      <c r="A496" s="6"/>
      <c r="B496" s="18" t="str">
        <f t="shared" si="7"/>
        <v/>
      </c>
      <c r="C496" s="2"/>
      <c r="D496" s="2"/>
      <c r="E496" s="2"/>
      <c r="F496" s="2"/>
      <c r="G496" s="2"/>
      <c r="H496" s="2"/>
      <c r="I496" s="28"/>
      <c r="J496" s="2"/>
    </row>
    <row r="497" ht="15" customHeight="1" spans="1:10">
      <c r="A497" s="6"/>
      <c r="B497" s="18" t="str">
        <f t="shared" si="7"/>
        <v/>
      </c>
      <c r="C497" s="2"/>
      <c r="D497" s="2"/>
      <c r="E497" s="2"/>
      <c r="F497" s="2"/>
      <c r="G497" s="2"/>
      <c r="H497" s="2"/>
      <c r="I497" s="28"/>
      <c r="J497" s="2"/>
    </row>
    <row r="498" ht="15" customHeight="1" spans="1:10">
      <c r="A498" s="6"/>
      <c r="B498" s="18" t="str">
        <f t="shared" si="7"/>
        <v/>
      </c>
      <c r="C498" s="2"/>
      <c r="D498" s="2"/>
      <c r="E498" s="2"/>
      <c r="F498" s="2"/>
      <c r="G498" s="2"/>
      <c r="H498" s="2"/>
      <c r="I498" s="28"/>
      <c r="J498" s="2"/>
    </row>
    <row r="499" ht="15" customHeight="1" spans="1:10">
      <c r="A499" s="6"/>
      <c r="B499" s="18" t="str">
        <f t="shared" si="7"/>
        <v/>
      </c>
      <c r="C499" s="2"/>
      <c r="D499" s="2"/>
      <c r="E499" s="2"/>
      <c r="F499" s="2"/>
      <c r="G499" s="2"/>
      <c r="H499" s="2"/>
      <c r="I499" s="28"/>
      <c r="J499" s="2"/>
    </row>
    <row r="500" ht="15" customHeight="1" spans="1:10">
      <c r="A500" s="6"/>
      <c r="B500" s="18" t="str">
        <f t="shared" si="7"/>
        <v/>
      </c>
      <c r="C500" s="2"/>
      <c r="D500" s="2"/>
      <c r="E500" s="2"/>
      <c r="F500" s="2"/>
      <c r="G500" s="2"/>
      <c r="H500" s="2"/>
      <c r="I500" s="28"/>
      <c r="J500" s="2"/>
    </row>
    <row r="501" ht="15" customHeight="1" spans="1:10">
      <c r="A501" s="6"/>
      <c r="B501" s="18" t="str">
        <f t="shared" si="7"/>
        <v/>
      </c>
      <c r="C501" s="2"/>
      <c r="D501" s="2"/>
      <c r="E501" s="2"/>
      <c r="F501" s="2"/>
      <c r="G501" s="2"/>
      <c r="H501" s="2"/>
      <c r="I501" s="28"/>
      <c r="J501" s="2"/>
    </row>
    <row r="502" ht="15" customHeight="1" spans="1:10">
      <c r="A502" s="6"/>
      <c r="B502" s="18" t="str">
        <f t="shared" si="7"/>
        <v/>
      </c>
      <c r="C502" s="2"/>
      <c r="D502" s="2"/>
      <c r="E502" s="2"/>
      <c r="F502" s="2"/>
      <c r="G502" s="2"/>
      <c r="H502" s="2"/>
      <c r="I502" s="28"/>
      <c r="J502" s="2"/>
    </row>
    <row r="503" ht="15" customHeight="1" spans="1:10">
      <c r="A503" s="6"/>
      <c r="B503" s="18" t="str">
        <f t="shared" si="7"/>
        <v/>
      </c>
      <c r="C503" s="2"/>
      <c r="D503" s="2"/>
      <c r="E503" s="2"/>
      <c r="F503" s="2"/>
      <c r="G503" s="2"/>
      <c r="H503" s="2"/>
      <c r="I503" s="28"/>
      <c r="J503" s="2"/>
    </row>
  </sheetData>
  <mergeCells count="1">
    <mergeCell ref="A1:J1"/>
  </mergeCells>
  <dataValidations count="4">
    <dataValidation type="list" sqref="C4:C503">
      <formula1>参数设置!$D$4:$D$11</formula1>
    </dataValidation>
    <dataValidation type="list" sqref="D4:D503">
      <formula1>参数设置!$E$4:$E$10</formula1>
    </dataValidation>
    <dataValidation type="list" sqref="E4:E503">
      <formula1>参数设置!$F$4:$F$26</formula1>
    </dataValidation>
    <dataValidation type="list" sqref="G4:G503">
      <formula1>"固定,浮动,一次性"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topLeftCell="A5" workbookViewId="0">
      <selection activeCell="G15" sqref="G15"/>
    </sheetView>
  </sheetViews>
  <sheetFormatPr defaultColWidth="9" defaultRowHeight="16.8"/>
  <cols>
    <col min="1" max="1" width="12" customWidth="1"/>
    <col min="2" max="4" width="13" customWidth="1"/>
    <col min="5" max="5" width="12" customWidth="1"/>
    <col min="6" max="7" width="16" customWidth="1"/>
    <col min="8" max="10" width="13" customWidth="1"/>
    <col min="11" max="11" width="24" customWidth="1"/>
  </cols>
  <sheetData>
    <row r="1" ht="26" customHeight="1" spans="1:26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ht="24" customHeight="1" spans="1:26">
      <c r="A3" s="3" t="s">
        <v>143</v>
      </c>
      <c r="B3" s="3" t="s">
        <v>19</v>
      </c>
      <c r="C3" s="3" t="s">
        <v>2</v>
      </c>
      <c r="E3" s="1" t="s">
        <v>144</v>
      </c>
      <c r="F3" s="1"/>
      <c r="G3" s="1"/>
      <c r="H3" s="1"/>
      <c r="I3" s="1"/>
      <c r="J3" s="1"/>
      <c r="K3" s="1"/>
    </row>
    <row r="4" ht="68" spans="1:26">
      <c r="A4" s="19" t="s">
        <v>145</v>
      </c>
      <c r="B4" s="10">
        <f>参数设置!$B$4</f>
        <v>7000</v>
      </c>
      <c r="C4" t="s">
        <v>146</v>
      </c>
      <c r="E4" s="21" t="s">
        <v>147</v>
      </c>
      <c r="F4" s="21"/>
      <c r="G4" s="21"/>
      <c r="H4" s="21"/>
      <c r="I4" s="21"/>
      <c r="J4" s="21"/>
      <c r="K4" s="21"/>
    </row>
    <row r="5" ht="68" spans="1:26">
      <c r="A5" s="19" t="s">
        <v>148</v>
      </c>
      <c r="B5" s="10">
        <f>参数设置!$B$5</f>
        <v>8500</v>
      </c>
      <c r="C5" t="s">
        <v>149</v>
      </c>
      <c r="E5" s="21" t="s">
        <v>150</v>
      </c>
      <c r="F5" s="21"/>
      <c r="G5" s="21"/>
      <c r="H5" s="21"/>
      <c r="I5" s="21"/>
      <c r="J5" s="21"/>
      <c r="K5" s="21"/>
    </row>
    <row r="6" ht="101" spans="1:26">
      <c r="A6" s="19" t="s">
        <v>39</v>
      </c>
      <c r="B6" s="10">
        <f>参数设置!$B$6</f>
        <v>7000</v>
      </c>
      <c r="C6" t="s">
        <v>151</v>
      </c>
      <c r="E6" s="21" t="s">
        <v>152</v>
      </c>
      <c r="F6" s="21"/>
      <c r="G6" s="21"/>
      <c r="H6" s="21"/>
      <c r="I6" s="21"/>
      <c r="J6" s="21"/>
      <c r="K6" s="21"/>
    </row>
    <row r="7" ht="84" spans="1:26">
      <c r="A7" s="19" t="s">
        <v>153</v>
      </c>
      <c r="B7" s="10">
        <f>参数设置!$B$7</f>
        <v>7750</v>
      </c>
      <c r="C7" t="s">
        <v>154</v>
      </c>
      <c r="E7" s="21" t="s">
        <v>155</v>
      </c>
      <c r="F7" s="21"/>
      <c r="G7" s="21"/>
      <c r="H7" s="21"/>
      <c r="I7" s="21"/>
      <c r="J7" s="21"/>
      <c r="K7" s="21"/>
    </row>
    <row r="8" spans="1:26">
      <c r="A8" s="19" t="s">
        <v>156</v>
      </c>
      <c r="B8" s="10">
        <f>COUNTIF(月度预算!$D$6:$D$17,"&gt;0")</f>
        <v>1</v>
      </c>
      <c r="C8" t="s">
        <v>157</v>
      </c>
    </row>
    <row r="9" spans="1:26">
      <c r="A9" s="19" t="s">
        <v>158</v>
      </c>
      <c r="B9" s="8">
        <f>SUM(月度预算!$D$6:$D$17)</f>
        <v>9100</v>
      </c>
      <c r="C9" t="s">
        <v>104</v>
      </c>
    </row>
    <row r="10" spans="1:26">
      <c r="A10" s="19" t="s">
        <v>159</v>
      </c>
      <c r="B10" s="10">
        <f>SUM(月度预算!$C$6:$C$17)</f>
        <v>1300</v>
      </c>
      <c r="C10" t="s">
        <v>104</v>
      </c>
    </row>
    <row r="11" spans="1:26">
      <c r="A11" s="19" t="s">
        <v>160</v>
      </c>
      <c r="B11" s="10">
        <f>IFERROR(B9/B8,0)</f>
        <v>9100</v>
      </c>
      <c r="C11" t="s">
        <v>104</v>
      </c>
    </row>
    <row r="14" ht="24" customHeight="1" spans="1:26">
      <c r="A14" s="3" t="s">
        <v>111</v>
      </c>
      <c r="B14" s="3" t="s">
        <v>161</v>
      </c>
      <c r="C14" s="3" t="s">
        <v>162</v>
      </c>
      <c r="D14" s="3" t="s">
        <v>163</v>
      </c>
      <c r="E14" s="3" t="s">
        <v>164</v>
      </c>
      <c r="F14" s="3" t="s">
        <v>165</v>
      </c>
      <c r="G14" s="3" t="s">
        <v>166</v>
      </c>
      <c r="H14" s="3" t="s">
        <v>167</v>
      </c>
      <c r="I14" s="3" t="s">
        <v>168</v>
      </c>
      <c r="J14" s="3" t="s">
        <v>169</v>
      </c>
      <c r="K14" s="3" t="s">
        <v>115</v>
      </c>
    </row>
    <row r="15" spans="1:26">
      <c r="A15" s="18">
        <f>月度预算!A6</f>
        <v>46023</v>
      </c>
      <c r="B15" s="10">
        <v>0</v>
      </c>
      <c r="C15" s="10">
        <v>0</v>
      </c>
      <c r="D15" s="10">
        <v>0</v>
      </c>
      <c r="E15" s="10">
        <v>0</v>
      </c>
      <c r="F15" s="8" t="str">
        <f>IF(D15=0,"待录入",IF(B15&lt;参数设置!$B$4,"工资低于下限",IF(B15&gt;参数设置!$B$5,"工资高于上限","工资在区间内")))</f>
        <v>待录入</v>
      </c>
      <c r="G15" s="10">
        <f>月度预算!M6</f>
        <v>3570</v>
      </c>
      <c r="H15" s="10">
        <f>月度预算!N6</f>
        <v>420</v>
      </c>
      <c r="I15" s="10">
        <f>月度预算!O6</f>
        <v>1610</v>
      </c>
      <c r="J15" s="10">
        <f>月度预算!U6</f>
        <v>200</v>
      </c>
      <c r="K15" s="4"/>
    </row>
    <row r="16" spans="1:26">
      <c r="A16" s="18">
        <f>月度预算!A7</f>
        <v>46054</v>
      </c>
      <c r="B16" s="10">
        <f>月度预算!B7</f>
        <v>0</v>
      </c>
      <c r="C16" s="10">
        <f>月度预算!C7</f>
        <v>0</v>
      </c>
      <c r="D16" s="10">
        <f>月度预算!D7</f>
        <v>0</v>
      </c>
      <c r="E16" s="10">
        <f>月度预算!I7</f>
        <v>0</v>
      </c>
      <c r="F16" s="8" t="str">
        <f>IF(D16=0,"待录入",IF(B16&lt;参数设置!$B$4,"工资低于下限",IF(B16&gt;参数设置!$B$5,"工资高于上限","工资在区间内")))</f>
        <v>待录入</v>
      </c>
      <c r="G16" s="10">
        <f>月度预算!M7</f>
        <v>2100</v>
      </c>
      <c r="H16" s="10">
        <f>月度预算!N7</f>
        <v>0</v>
      </c>
      <c r="I16" s="10">
        <f>月度预算!O7</f>
        <v>1400</v>
      </c>
      <c r="J16" s="10" t="str">
        <f>月度预算!U7</f>
        <v/>
      </c>
      <c r="K16" s="4"/>
    </row>
    <row r="17" spans="1:11">
      <c r="A17" s="18">
        <f>月度预算!A8</f>
        <v>46082</v>
      </c>
      <c r="B17" s="10">
        <f>月度预算!B8</f>
        <v>0</v>
      </c>
      <c r="C17" s="10">
        <f>月度预算!C8</f>
        <v>0</v>
      </c>
      <c r="D17" s="10">
        <f>月度预算!D8</f>
        <v>0</v>
      </c>
      <c r="E17" s="10">
        <f>月度预算!I8</f>
        <v>0</v>
      </c>
      <c r="F17" s="8" t="str">
        <f>IF(D17=0,"待录入",IF(B17&lt;参数设置!$B$4,"工资低于下限",IF(B17&gt;参数设置!$B$5,"工资高于上限","工资在区间内")))</f>
        <v>待录入</v>
      </c>
      <c r="G17" s="10">
        <f>月度预算!M8</f>
        <v>2100</v>
      </c>
      <c r="H17" s="10">
        <f>月度预算!N8</f>
        <v>0</v>
      </c>
      <c r="I17" s="10">
        <f>月度预算!O8</f>
        <v>1400</v>
      </c>
      <c r="J17" s="10" t="str">
        <f>月度预算!U8</f>
        <v/>
      </c>
      <c r="K17" s="4"/>
    </row>
    <row r="18" spans="1:11">
      <c r="A18" s="18">
        <f>月度预算!A9</f>
        <v>46113</v>
      </c>
      <c r="B18" s="10">
        <f>月度预算!B9</f>
        <v>0</v>
      </c>
      <c r="C18" s="10">
        <f>月度预算!C9</f>
        <v>0</v>
      </c>
      <c r="D18" s="10">
        <f>月度预算!D9</f>
        <v>0</v>
      </c>
      <c r="E18" s="10">
        <f>月度预算!I9</f>
        <v>0</v>
      </c>
      <c r="F18" s="8" t="str">
        <f>IF(D18=0,"待录入",IF(B18&lt;参数设置!$B$4,"工资低于下限",IF(B18&gt;参数设置!$B$5,"工资高于上限","工资在区间内")))</f>
        <v>待录入</v>
      </c>
      <c r="G18" s="10">
        <f>月度预算!M9</f>
        <v>2100</v>
      </c>
      <c r="H18" s="10">
        <f>月度预算!N9</f>
        <v>0</v>
      </c>
      <c r="I18" s="10">
        <f>月度预算!O9</f>
        <v>1400</v>
      </c>
      <c r="J18" s="10" t="str">
        <f>月度预算!U9</f>
        <v/>
      </c>
      <c r="K18" s="4"/>
    </row>
    <row r="19" spans="1:11">
      <c r="A19" s="18">
        <f>月度预算!A10</f>
        <v>46143</v>
      </c>
      <c r="B19" s="10">
        <f>月度预算!B10</f>
        <v>0</v>
      </c>
      <c r="C19" s="10">
        <f>月度预算!C10</f>
        <v>0</v>
      </c>
      <c r="D19" s="10">
        <f>月度预算!D10</f>
        <v>0</v>
      </c>
      <c r="E19" s="10">
        <f>月度预算!I10</f>
        <v>0</v>
      </c>
      <c r="F19" s="8" t="str">
        <f>IF(D19=0,"待录入",IF(B19&lt;参数设置!$B$4,"工资低于下限",IF(B19&gt;参数设置!$B$5,"工资高于上限","工资在区间内")))</f>
        <v>待录入</v>
      </c>
      <c r="G19" s="10">
        <f>月度预算!M10</f>
        <v>2100</v>
      </c>
      <c r="H19" s="10">
        <f>月度预算!N10</f>
        <v>0</v>
      </c>
      <c r="I19" s="10">
        <f>月度预算!O10</f>
        <v>1400</v>
      </c>
      <c r="J19" s="10" t="str">
        <f>月度预算!U10</f>
        <v/>
      </c>
      <c r="K19" s="4"/>
    </row>
    <row r="20" spans="1:11">
      <c r="A20" s="18">
        <f>月度预算!A11</f>
        <v>46174</v>
      </c>
      <c r="B20" s="10">
        <f>月度预算!B11</f>
        <v>0</v>
      </c>
      <c r="C20" s="10">
        <f>月度预算!C11</f>
        <v>0</v>
      </c>
      <c r="D20" s="10">
        <f>月度预算!D11</f>
        <v>0</v>
      </c>
      <c r="E20" s="10">
        <f>月度预算!I11</f>
        <v>0</v>
      </c>
      <c r="F20" s="8" t="str">
        <f>IF(D20=0,"待录入",IF(B20&lt;参数设置!$B$4,"工资低于下限",IF(B20&gt;参数设置!$B$5,"工资高于上限","工资在区间内")))</f>
        <v>待录入</v>
      </c>
      <c r="G20" s="10">
        <f>月度预算!M11</f>
        <v>2100</v>
      </c>
      <c r="H20" s="10">
        <f>月度预算!N11</f>
        <v>0</v>
      </c>
      <c r="I20" s="10">
        <f>月度预算!O11</f>
        <v>1400</v>
      </c>
      <c r="J20" s="10" t="str">
        <f>月度预算!U11</f>
        <v/>
      </c>
      <c r="K20" s="4"/>
    </row>
    <row r="21" spans="1:11">
      <c r="A21" s="18">
        <f>月度预算!A12</f>
        <v>46204</v>
      </c>
      <c r="B21" s="10">
        <f>月度预算!B12</f>
        <v>0</v>
      </c>
      <c r="C21" s="10">
        <f>月度预算!C12</f>
        <v>0</v>
      </c>
      <c r="D21" s="10">
        <f>月度预算!D12</f>
        <v>0</v>
      </c>
      <c r="E21" s="10">
        <f>月度预算!I12</f>
        <v>0</v>
      </c>
      <c r="F21" s="8" t="str">
        <f>IF(D21=0,"待录入",IF(B21&lt;参数设置!$B$4,"工资低于下限",IF(B21&gt;参数设置!$B$5,"工资高于上限","工资在区间内")))</f>
        <v>待录入</v>
      </c>
      <c r="G21" s="10">
        <f>月度预算!M12</f>
        <v>2100</v>
      </c>
      <c r="H21" s="10">
        <f>月度预算!N12</f>
        <v>0</v>
      </c>
      <c r="I21" s="10">
        <f>月度预算!O12</f>
        <v>1400</v>
      </c>
      <c r="J21" s="10" t="str">
        <f>月度预算!U12</f>
        <v/>
      </c>
      <c r="K21" s="4"/>
    </row>
    <row r="22" spans="1:11">
      <c r="A22" s="18">
        <f>月度预算!A13</f>
        <v>46235</v>
      </c>
      <c r="B22" s="10">
        <f>月度预算!B13</f>
        <v>0</v>
      </c>
      <c r="C22" s="10">
        <f>月度预算!C13</f>
        <v>0</v>
      </c>
      <c r="D22" s="10">
        <f>月度预算!D13</f>
        <v>0</v>
      </c>
      <c r="E22" s="10">
        <f>月度预算!I13</f>
        <v>0</v>
      </c>
      <c r="F22" s="8" t="str">
        <f>IF(D22=0,"待录入",IF(B22&lt;参数设置!$B$4,"工资低于下限",IF(B22&gt;参数设置!$B$5,"工资高于上限","工资在区间内")))</f>
        <v>待录入</v>
      </c>
      <c r="G22" s="10">
        <f>月度预算!M13</f>
        <v>2100</v>
      </c>
      <c r="H22" s="10">
        <f>月度预算!N13</f>
        <v>0</v>
      </c>
      <c r="I22" s="10">
        <f>月度预算!O13</f>
        <v>1400</v>
      </c>
      <c r="J22" s="10" t="str">
        <f>月度预算!U13</f>
        <v/>
      </c>
      <c r="K22" s="4"/>
    </row>
    <row r="23" spans="1:11">
      <c r="A23" s="18">
        <f>月度预算!A14</f>
        <v>46266</v>
      </c>
      <c r="B23" s="10">
        <f>月度预算!B14</f>
        <v>0</v>
      </c>
      <c r="C23" s="10">
        <f>月度预算!C14</f>
        <v>0</v>
      </c>
      <c r="D23" s="10">
        <f>月度预算!D14</f>
        <v>0</v>
      </c>
      <c r="E23" s="10">
        <f>月度预算!I14</f>
        <v>0</v>
      </c>
      <c r="F23" s="8" t="str">
        <f>IF(D23=0,"待录入",IF(B23&lt;参数设置!$B$4,"工资低于下限",IF(B23&gt;参数设置!$B$5,"工资高于上限","工资在区间内")))</f>
        <v>待录入</v>
      </c>
      <c r="G23" s="10">
        <f>月度预算!M14</f>
        <v>2100</v>
      </c>
      <c r="H23" s="10">
        <f>月度预算!N14</f>
        <v>0</v>
      </c>
      <c r="I23" s="10">
        <f>月度预算!O14</f>
        <v>1400</v>
      </c>
      <c r="J23" s="10" t="str">
        <f>月度预算!U14</f>
        <v/>
      </c>
      <c r="K23" s="4"/>
    </row>
    <row r="24" spans="1:11">
      <c r="A24" s="18">
        <f>月度预算!A15</f>
        <v>46296</v>
      </c>
      <c r="B24" s="10">
        <f>月度预算!B15</f>
        <v>0</v>
      </c>
      <c r="C24" s="10">
        <f>月度预算!C15</f>
        <v>0</v>
      </c>
      <c r="D24" s="10">
        <f>月度预算!D15</f>
        <v>0</v>
      </c>
      <c r="E24" s="10">
        <f>月度预算!I15</f>
        <v>0</v>
      </c>
      <c r="F24" s="8" t="str">
        <f>IF(D24=0,"待录入",IF(B24&lt;参数设置!$B$4,"工资低于下限",IF(B24&gt;参数设置!$B$5,"工资高于上限","工资在区间内")))</f>
        <v>待录入</v>
      </c>
      <c r="G24" s="10">
        <f>月度预算!M15</f>
        <v>2100</v>
      </c>
      <c r="H24" s="10">
        <f>月度预算!N15</f>
        <v>0</v>
      </c>
      <c r="I24" s="10">
        <f>月度预算!O15</f>
        <v>1400</v>
      </c>
      <c r="J24" s="10" t="str">
        <f>月度预算!U15</f>
        <v/>
      </c>
      <c r="K24" s="4"/>
    </row>
    <row r="25" spans="1:11">
      <c r="A25" s="18">
        <f>月度预算!A16</f>
        <v>46327</v>
      </c>
      <c r="B25" s="10">
        <f>月度预算!B16</f>
        <v>0</v>
      </c>
      <c r="C25" s="10">
        <f>月度预算!C16</f>
        <v>0</v>
      </c>
      <c r="D25" s="10">
        <f>月度预算!D16</f>
        <v>0</v>
      </c>
      <c r="E25" s="10">
        <f>月度预算!I16</f>
        <v>0</v>
      </c>
      <c r="F25" s="8" t="str">
        <f>IF(D25=0,"待录入",IF(B25&lt;参数设置!$B$4,"工资低于下限",IF(B25&gt;参数设置!$B$5,"工资高于上限","工资在区间内")))</f>
        <v>待录入</v>
      </c>
      <c r="G25" s="10">
        <f>月度预算!M16</f>
        <v>2100</v>
      </c>
      <c r="H25" s="10">
        <f>月度预算!N16</f>
        <v>0</v>
      </c>
      <c r="I25" s="10">
        <f>月度预算!O16</f>
        <v>1400</v>
      </c>
      <c r="J25" s="10" t="str">
        <f>月度预算!U16</f>
        <v/>
      </c>
      <c r="K25" s="4"/>
    </row>
    <row r="26" spans="1:11">
      <c r="A26" s="18">
        <f>月度预算!A17</f>
        <v>46357</v>
      </c>
      <c r="B26" s="10">
        <f>月度预算!B17</f>
        <v>0</v>
      </c>
      <c r="C26" s="10">
        <f>月度预算!C17</f>
        <v>0</v>
      </c>
      <c r="D26" s="10">
        <f>月度预算!D17</f>
        <v>0</v>
      </c>
      <c r="E26" s="10">
        <f>月度预算!I17</f>
        <v>0</v>
      </c>
      <c r="F26" s="8" t="str">
        <f>IF(D26=0,"待录入",IF(B26&lt;参数设置!$B$4,"工资低于下限",IF(B26&gt;参数设置!$B$5,"工资高于上限","工资在区间内")))</f>
        <v>待录入</v>
      </c>
      <c r="G26" s="10">
        <f>月度预算!M17</f>
        <v>2100</v>
      </c>
      <c r="H26" s="10">
        <f>月度预算!N17</f>
        <v>0</v>
      </c>
      <c r="I26" s="10">
        <f>月度预算!O17</f>
        <v>1400</v>
      </c>
      <c r="J26" s="10" t="str">
        <f>月度预算!U17</f>
        <v/>
      </c>
      <c r="K26" s="4"/>
    </row>
  </sheetData>
  <mergeCells count="2">
    <mergeCell ref="A1:K1"/>
    <mergeCell ref="E3:K3"/>
  </mergeCells>
  <pageMargins left="0.7" right="0.7" top="0.75" bottom="0.75" header="0.3" footer="0.3"/>
  <headerFooter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workbookViewId="0">
      <selection activeCell="A1" sqref="A1:X1"/>
    </sheetView>
  </sheetViews>
  <sheetFormatPr defaultColWidth="9" defaultRowHeight="16.8"/>
  <cols>
    <col min="1" max="1" width="12" customWidth="1"/>
    <col min="2" max="5" width="13" customWidth="1"/>
    <col min="6" max="6" width="12" customWidth="1"/>
    <col min="7" max="7" width="16" customWidth="1"/>
    <col min="8" max="8" width="14" customWidth="1"/>
    <col min="9" max="9" width="12" customWidth="1"/>
    <col min="10" max="10" width="16" customWidth="1"/>
    <col min="11" max="11" width="14" customWidth="1"/>
    <col min="12" max="12" width="13" customWidth="1"/>
    <col min="13" max="13" width="16" customWidth="1"/>
    <col min="14" max="15" width="13" customWidth="1"/>
    <col min="16" max="16" width="12" customWidth="1"/>
    <col min="17" max="17" width="13" customWidth="1"/>
    <col min="18" max="19" width="12" customWidth="1"/>
    <col min="20" max="20" width="13" customWidth="1"/>
    <col min="21" max="21" width="12" customWidth="1"/>
    <col min="22" max="22" width="14" customWidth="1"/>
    <col min="23" max="23" width="12" customWidth="1"/>
    <col min="24" max="24" width="24" customWidth="1"/>
  </cols>
  <sheetData>
    <row r="1" ht="26" customHeight="1" spans="1:26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</row>
    <row r="3" spans="1:26">
      <c r="A3" s="21" t="s">
        <v>171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5" ht="24" customHeight="1" spans="1:26">
      <c r="A5" s="3" t="s">
        <v>111</v>
      </c>
      <c r="B5" s="3" t="s">
        <v>161</v>
      </c>
      <c r="C5" s="3" t="s">
        <v>162</v>
      </c>
      <c r="D5" s="3" t="s">
        <v>172</v>
      </c>
      <c r="E5" s="3" t="s">
        <v>173</v>
      </c>
      <c r="F5" s="3" t="s">
        <v>174</v>
      </c>
      <c r="G5" s="3" t="s">
        <v>175</v>
      </c>
      <c r="H5" s="3" t="s">
        <v>176</v>
      </c>
      <c r="I5" s="3" t="s">
        <v>164</v>
      </c>
      <c r="J5" s="3" t="s">
        <v>177</v>
      </c>
      <c r="K5" s="3" t="s">
        <v>178</v>
      </c>
      <c r="L5" s="3" t="s">
        <v>179</v>
      </c>
      <c r="M5" s="3" t="s">
        <v>166</v>
      </c>
      <c r="N5" s="3" t="s">
        <v>167</v>
      </c>
      <c r="O5" s="3" t="s">
        <v>168</v>
      </c>
      <c r="P5" s="3" t="s">
        <v>180</v>
      </c>
      <c r="Q5" s="3" t="s">
        <v>181</v>
      </c>
      <c r="R5" s="3" t="s">
        <v>182</v>
      </c>
      <c r="S5" s="3" t="s">
        <v>183</v>
      </c>
      <c r="T5" s="3" t="s">
        <v>184</v>
      </c>
      <c r="U5" s="3" t="s">
        <v>169</v>
      </c>
      <c r="V5" s="3" t="s">
        <v>185</v>
      </c>
      <c r="W5" s="3" t="s">
        <v>23</v>
      </c>
      <c r="X5" s="3" t="s">
        <v>115</v>
      </c>
    </row>
    <row r="6" ht="17" spans="1:26">
      <c r="A6" s="23">
        <f>DATE(参数设置!$B$13,1,1)</f>
        <v>46023</v>
      </c>
      <c r="B6" s="24">
        <f>SUMIFS(流水记录!$I$4:$I$503,流水记录!$B$4:$B$503,A6,流水记录!$D$4:$D$503,"收入",流水记录!$E$4:$E$503,"工资")</f>
        <v>7800</v>
      </c>
      <c r="C6" s="24">
        <f>SUMIFS(流水记录!$I$4:$I$503,流水记录!$B$4:$B$503,A6,流水记录!$D$4:$D$503,"收入",流水记录!$E$4:$E$503,"&lt;&gt;工资")</f>
        <v>1300</v>
      </c>
      <c r="D6" s="24">
        <f t="shared" ref="D6:D17" si="0">B6+C6</f>
        <v>9100</v>
      </c>
      <c r="E6" s="24">
        <f>IF(D6=0,参数设置!$B$6,D6)</f>
        <v>9100</v>
      </c>
      <c r="F6" s="24">
        <f>参数设置!$B$6*参数设置!$B$8</f>
        <v>3500</v>
      </c>
      <c r="G6" s="24">
        <f>参数设置!$B$6*参数设置!$B$9</f>
        <v>2100</v>
      </c>
      <c r="H6" s="24">
        <f>参数设置!$B$6*参数设置!$B$10</f>
        <v>1400</v>
      </c>
      <c r="I6" s="24">
        <f>MAX(0,E6-参数设置!$B$6)</f>
        <v>2100</v>
      </c>
      <c r="J6" s="24">
        <f>I6*参数设置!$B$14</f>
        <v>1470</v>
      </c>
      <c r="K6" s="24">
        <f>I6*参数设置!$B$15</f>
        <v>420</v>
      </c>
      <c r="L6" s="24">
        <f>I6*参数设置!$B$16</f>
        <v>210</v>
      </c>
      <c r="M6" s="24">
        <f t="shared" ref="M6:M17" si="1">G6+J6</f>
        <v>3570</v>
      </c>
      <c r="N6" s="24">
        <f t="shared" ref="N6:N17" si="2">K6</f>
        <v>420</v>
      </c>
      <c r="O6" s="24">
        <f t="shared" ref="O6:O17" si="3">H6+L6</f>
        <v>1610</v>
      </c>
      <c r="P6" s="24">
        <f>SUMIFS(流水记录!$I$4:$I$503,流水记录!$B$4:$B$503,A6,流水记录!$D$4:$D$503,"必要支出")</f>
        <v>3900</v>
      </c>
      <c r="Q6" s="24">
        <f>SUMIFS(流水记录!$I$4:$I$503,流水记录!$B$4:$B$503,A6,流水记录!$D$4:$D$503,"储蓄投资")</f>
        <v>2700</v>
      </c>
      <c r="R6" s="24">
        <f>SUMIFS(流水记录!$I$4:$I$503,流水记录!$B$4:$B$503,A6,流水记录!$D$4:$D$503,"弹性消费")</f>
        <v>1000</v>
      </c>
      <c r="S6" s="24">
        <f>SUMIFS(流水记录!$I$4:$I$503,流水记录!$B$4:$B$503,A6,流水记录!$D$4:$D$503,"债务还款")</f>
        <v>900</v>
      </c>
      <c r="T6" s="24">
        <f>SUMIFS(流水记录!$I$4:$I$503,流水记录!$B$4:$B$503,A6,流水记录!$D$4:$D$503,"专项准备金")</f>
        <v>400</v>
      </c>
      <c r="U6" s="24">
        <f t="shared" ref="U6:U17" si="4">IF(D6=0,"",D6-P6-Q6-R6-S6-T6)</f>
        <v>200</v>
      </c>
      <c r="V6" s="25">
        <f t="shared" ref="V6:V17" si="5">IFERROR((Q6+S6+T6)/D6,0)</f>
        <v>0.43956043956044</v>
      </c>
      <c r="W6" s="26" t="str">
        <f t="shared" ref="W6:W17" si="6">IF(D6=0,"待录入",IF(U6&lt;0,"超支",IF(Q6+S6&gt;=M6,"优秀",IF(Q6+S6+T6&gt;=M6+N6,"正常","需要关注"))))</f>
        <v>优秀</v>
      </c>
      <c r="X6" s="27"/>
    </row>
    <row r="7" ht="17" spans="1:26">
      <c r="A7" s="23">
        <f>DATE(参数设置!$B$13,2,1)</f>
        <v>46054</v>
      </c>
      <c r="B7" s="24">
        <f>SUMIFS(流水记录!$I$4:$I$503,流水记录!$B$4:$B$503,A7,流水记录!$D$4:$D$503,"收入",流水记录!$E$4:$E$503,"工资")</f>
        <v>0</v>
      </c>
      <c r="C7" s="24">
        <f>SUMIFS(流水记录!$I$4:$I$503,流水记录!$B$4:$B$503,A7,流水记录!$D$4:$D$503,"收入",流水记录!$E$4:$E$503,"&lt;&gt;工资")</f>
        <v>0</v>
      </c>
      <c r="D7" s="24">
        <f t="shared" si="0"/>
        <v>0</v>
      </c>
      <c r="E7" s="24">
        <f>IF(D7=0,参数设置!$B$6,D7)</f>
        <v>7000</v>
      </c>
      <c r="F7" s="24">
        <f>参数设置!$B$6*参数设置!$B$8</f>
        <v>3500</v>
      </c>
      <c r="G7" s="24">
        <f>参数设置!$B$6*参数设置!$B$9</f>
        <v>2100</v>
      </c>
      <c r="H7" s="24">
        <f>参数设置!$B$6*参数设置!$B$10</f>
        <v>1400</v>
      </c>
      <c r="I7" s="24">
        <f>MAX(0,E7-参数设置!$B$6)</f>
        <v>0</v>
      </c>
      <c r="J7" s="24">
        <f>I7*参数设置!$B$14</f>
        <v>0</v>
      </c>
      <c r="K7" s="24">
        <f>I7*参数设置!$B$15</f>
        <v>0</v>
      </c>
      <c r="L7" s="24">
        <f>I7*参数设置!$B$16</f>
        <v>0</v>
      </c>
      <c r="M7" s="24">
        <f t="shared" si="1"/>
        <v>2100</v>
      </c>
      <c r="N7" s="24">
        <f t="shared" si="2"/>
        <v>0</v>
      </c>
      <c r="O7" s="24">
        <f t="shared" si="3"/>
        <v>1400</v>
      </c>
      <c r="P7" s="24">
        <f>SUMIFS(流水记录!$I$4:$I$503,流水记录!$B$4:$B$503,A7,流水记录!$D$4:$D$503,"必要支出")</f>
        <v>0</v>
      </c>
      <c r="Q7" s="24">
        <f>SUMIFS(流水记录!$I$4:$I$503,流水记录!$B$4:$B$503,A7,流水记录!$D$4:$D$503,"储蓄投资")</f>
        <v>0</v>
      </c>
      <c r="R7" s="24">
        <f>SUMIFS(流水记录!$I$4:$I$503,流水记录!$B$4:$B$503,A7,流水记录!$D$4:$D$503,"弹性消费")</f>
        <v>0</v>
      </c>
      <c r="S7" s="24">
        <f>SUMIFS(流水记录!$I$4:$I$503,流水记录!$B$4:$B$503,A7,流水记录!$D$4:$D$503,"债务还款")</f>
        <v>0</v>
      </c>
      <c r="T7" s="24">
        <f>SUMIFS(流水记录!$I$4:$I$503,流水记录!$B$4:$B$503,A7,流水记录!$D$4:$D$503,"专项准备金")</f>
        <v>0</v>
      </c>
      <c r="U7" s="24" t="str">
        <f t="shared" si="4"/>
        <v/>
      </c>
      <c r="V7" s="25">
        <f t="shared" si="5"/>
        <v>0</v>
      </c>
      <c r="W7" s="26" t="str">
        <f t="shared" si="6"/>
        <v>待录入</v>
      </c>
      <c r="X7" s="27"/>
    </row>
    <row r="8" ht="17" spans="1:26">
      <c r="A8" s="23">
        <f>DATE(参数设置!$B$13,3,1)</f>
        <v>46082</v>
      </c>
      <c r="B8" s="24">
        <f>SUMIFS(流水记录!$I$4:$I$503,流水记录!$B$4:$B$503,A8,流水记录!$D$4:$D$503,"收入",流水记录!$E$4:$E$503,"工资")</f>
        <v>0</v>
      </c>
      <c r="C8" s="24">
        <f>SUMIFS(流水记录!$I$4:$I$503,流水记录!$B$4:$B$503,A8,流水记录!$D$4:$D$503,"收入",流水记录!$E$4:$E$503,"&lt;&gt;工资")</f>
        <v>0</v>
      </c>
      <c r="D8" s="24">
        <f t="shared" si="0"/>
        <v>0</v>
      </c>
      <c r="E8" s="24">
        <f>IF(D8=0,参数设置!$B$6,D8)</f>
        <v>7000</v>
      </c>
      <c r="F8" s="24">
        <f>参数设置!$B$6*参数设置!$B$8</f>
        <v>3500</v>
      </c>
      <c r="G8" s="24">
        <f>参数设置!$B$6*参数设置!$B$9</f>
        <v>2100</v>
      </c>
      <c r="H8" s="24">
        <f>参数设置!$B$6*参数设置!$B$10</f>
        <v>1400</v>
      </c>
      <c r="I8" s="24">
        <f>MAX(0,E8-参数设置!$B$6)</f>
        <v>0</v>
      </c>
      <c r="J8" s="24">
        <f>I8*参数设置!$B$14</f>
        <v>0</v>
      </c>
      <c r="K8" s="24">
        <f>I8*参数设置!$B$15</f>
        <v>0</v>
      </c>
      <c r="L8" s="24">
        <f>I8*参数设置!$B$16</f>
        <v>0</v>
      </c>
      <c r="M8" s="24">
        <f t="shared" si="1"/>
        <v>2100</v>
      </c>
      <c r="N8" s="24">
        <f t="shared" si="2"/>
        <v>0</v>
      </c>
      <c r="O8" s="24">
        <f t="shared" si="3"/>
        <v>1400</v>
      </c>
      <c r="P8" s="24">
        <f>SUMIFS(流水记录!$I$4:$I$503,流水记录!$B$4:$B$503,A8,流水记录!$D$4:$D$503,"必要支出")</f>
        <v>0</v>
      </c>
      <c r="Q8" s="24">
        <f>SUMIFS(流水记录!$I$4:$I$503,流水记录!$B$4:$B$503,A8,流水记录!$D$4:$D$503,"储蓄投资")</f>
        <v>0</v>
      </c>
      <c r="R8" s="24">
        <f>SUMIFS(流水记录!$I$4:$I$503,流水记录!$B$4:$B$503,A8,流水记录!$D$4:$D$503,"弹性消费")</f>
        <v>0</v>
      </c>
      <c r="S8" s="24">
        <f>SUMIFS(流水记录!$I$4:$I$503,流水记录!$B$4:$B$503,A8,流水记录!$D$4:$D$503,"债务还款")</f>
        <v>0</v>
      </c>
      <c r="T8" s="24">
        <f>SUMIFS(流水记录!$I$4:$I$503,流水记录!$B$4:$B$503,A8,流水记录!$D$4:$D$503,"专项准备金")</f>
        <v>0</v>
      </c>
      <c r="U8" s="24" t="str">
        <f t="shared" si="4"/>
        <v/>
      </c>
      <c r="V8" s="25">
        <f t="shared" si="5"/>
        <v>0</v>
      </c>
      <c r="W8" s="26" t="str">
        <f t="shared" si="6"/>
        <v>待录入</v>
      </c>
      <c r="X8" s="27"/>
    </row>
    <row r="9" ht="17" spans="1:26">
      <c r="A9" s="23">
        <f>DATE(参数设置!$B$13,4,1)</f>
        <v>46113</v>
      </c>
      <c r="B9" s="24">
        <f>SUMIFS(流水记录!$I$4:$I$503,流水记录!$B$4:$B$503,A9,流水记录!$D$4:$D$503,"收入",流水记录!$E$4:$E$503,"工资")</f>
        <v>0</v>
      </c>
      <c r="C9" s="24">
        <f>SUMIFS(流水记录!$I$4:$I$503,流水记录!$B$4:$B$503,A9,流水记录!$D$4:$D$503,"收入",流水记录!$E$4:$E$503,"&lt;&gt;工资")</f>
        <v>0</v>
      </c>
      <c r="D9" s="24">
        <f t="shared" si="0"/>
        <v>0</v>
      </c>
      <c r="E9" s="24">
        <f>IF(D9=0,参数设置!$B$6,D9)</f>
        <v>7000</v>
      </c>
      <c r="F9" s="24">
        <f>参数设置!$B$6*参数设置!$B$8</f>
        <v>3500</v>
      </c>
      <c r="G9" s="24">
        <f>参数设置!$B$6*参数设置!$B$9</f>
        <v>2100</v>
      </c>
      <c r="H9" s="24">
        <f>参数设置!$B$6*参数设置!$B$10</f>
        <v>1400</v>
      </c>
      <c r="I9" s="24">
        <f>MAX(0,E9-参数设置!$B$6)</f>
        <v>0</v>
      </c>
      <c r="J9" s="24">
        <f>I9*参数设置!$B$14</f>
        <v>0</v>
      </c>
      <c r="K9" s="24">
        <f>I9*参数设置!$B$15</f>
        <v>0</v>
      </c>
      <c r="L9" s="24">
        <f>I9*参数设置!$B$16</f>
        <v>0</v>
      </c>
      <c r="M9" s="24">
        <f t="shared" si="1"/>
        <v>2100</v>
      </c>
      <c r="N9" s="24">
        <f t="shared" si="2"/>
        <v>0</v>
      </c>
      <c r="O9" s="24">
        <f t="shared" si="3"/>
        <v>1400</v>
      </c>
      <c r="P9" s="24">
        <f>SUMIFS(流水记录!$I$4:$I$503,流水记录!$B$4:$B$503,A9,流水记录!$D$4:$D$503,"必要支出")</f>
        <v>0</v>
      </c>
      <c r="Q9" s="24">
        <f>SUMIFS(流水记录!$I$4:$I$503,流水记录!$B$4:$B$503,A9,流水记录!$D$4:$D$503,"储蓄投资")</f>
        <v>0</v>
      </c>
      <c r="R9" s="24">
        <f>SUMIFS(流水记录!$I$4:$I$503,流水记录!$B$4:$B$503,A9,流水记录!$D$4:$D$503,"弹性消费")</f>
        <v>0</v>
      </c>
      <c r="S9" s="24">
        <f>SUMIFS(流水记录!$I$4:$I$503,流水记录!$B$4:$B$503,A9,流水记录!$D$4:$D$503,"债务还款")</f>
        <v>0</v>
      </c>
      <c r="T9" s="24">
        <f>SUMIFS(流水记录!$I$4:$I$503,流水记录!$B$4:$B$503,A9,流水记录!$D$4:$D$503,"专项准备金")</f>
        <v>0</v>
      </c>
      <c r="U9" s="24" t="str">
        <f t="shared" si="4"/>
        <v/>
      </c>
      <c r="V9" s="25">
        <f t="shared" si="5"/>
        <v>0</v>
      </c>
      <c r="W9" s="26" t="str">
        <f t="shared" si="6"/>
        <v>待录入</v>
      </c>
      <c r="X9" s="27"/>
    </row>
    <row r="10" ht="17" spans="1:26">
      <c r="A10" s="23">
        <f>DATE(参数设置!$B$13,5,1)</f>
        <v>46143</v>
      </c>
      <c r="B10" s="24">
        <f>SUMIFS(流水记录!$I$4:$I$503,流水记录!$B$4:$B$503,A10,流水记录!$D$4:$D$503,"收入",流水记录!$E$4:$E$503,"工资")</f>
        <v>0</v>
      </c>
      <c r="C10" s="24">
        <f>SUMIFS(流水记录!$I$4:$I$503,流水记录!$B$4:$B$503,A10,流水记录!$D$4:$D$503,"收入",流水记录!$E$4:$E$503,"&lt;&gt;工资")</f>
        <v>0</v>
      </c>
      <c r="D10" s="24">
        <f t="shared" si="0"/>
        <v>0</v>
      </c>
      <c r="E10" s="24">
        <f>IF(D10=0,参数设置!$B$6,D10)</f>
        <v>7000</v>
      </c>
      <c r="F10" s="24">
        <f>参数设置!$B$6*参数设置!$B$8</f>
        <v>3500</v>
      </c>
      <c r="G10" s="24">
        <f>参数设置!$B$6*参数设置!$B$9</f>
        <v>2100</v>
      </c>
      <c r="H10" s="24">
        <f>参数设置!$B$6*参数设置!$B$10</f>
        <v>1400</v>
      </c>
      <c r="I10" s="24">
        <f>MAX(0,E10-参数设置!$B$6)</f>
        <v>0</v>
      </c>
      <c r="J10" s="24">
        <f>I10*参数设置!$B$14</f>
        <v>0</v>
      </c>
      <c r="K10" s="24">
        <f>I10*参数设置!$B$15</f>
        <v>0</v>
      </c>
      <c r="L10" s="24">
        <f>I10*参数设置!$B$16</f>
        <v>0</v>
      </c>
      <c r="M10" s="24">
        <f t="shared" si="1"/>
        <v>2100</v>
      </c>
      <c r="N10" s="24">
        <f t="shared" si="2"/>
        <v>0</v>
      </c>
      <c r="O10" s="24">
        <f t="shared" si="3"/>
        <v>1400</v>
      </c>
      <c r="P10" s="24">
        <f>SUMIFS(流水记录!$I$4:$I$503,流水记录!$B$4:$B$503,A10,流水记录!$D$4:$D$503,"必要支出")</f>
        <v>0</v>
      </c>
      <c r="Q10" s="24">
        <f>SUMIFS(流水记录!$I$4:$I$503,流水记录!$B$4:$B$503,A10,流水记录!$D$4:$D$503,"储蓄投资")</f>
        <v>0</v>
      </c>
      <c r="R10" s="24">
        <f>SUMIFS(流水记录!$I$4:$I$503,流水记录!$B$4:$B$503,A10,流水记录!$D$4:$D$503,"弹性消费")</f>
        <v>0</v>
      </c>
      <c r="S10" s="24">
        <f>SUMIFS(流水记录!$I$4:$I$503,流水记录!$B$4:$B$503,A10,流水记录!$D$4:$D$503,"债务还款")</f>
        <v>0</v>
      </c>
      <c r="T10" s="24">
        <f>SUMIFS(流水记录!$I$4:$I$503,流水记录!$B$4:$B$503,A10,流水记录!$D$4:$D$503,"专项准备金")</f>
        <v>0</v>
      </c>
      <c r="U10" s="24" t="str">
        <f t="shared" si="4"/>
        <v/>
      </c>
      <c r="V10" s="25">
        <f t="shared" si="5"/>
        <v>0</v>
      </c>
      <c r="W10" s="26" t="str">
        <f t="shared" si="6"/>
        <v>待录入</v>
      </c>
      <c r="X10" s="27"/>
    </row>
    <row r="11" ht="17" spans="1:26">
      <c r="A11" s="23">
        <f>DATE(参数设置!$B$13,6,1)</f>
        <v>46174</v>
      </c>
      <c r="B11" s="24">
        <f>SUMIFS(流水记录!$I$4:$I$503,流水记录!$B$4:$B$503,A11,流水记录!$D$4:$D$503,"收入",流水记录!$E$4:$E$503,"工资")</f>
        <v>0</v>
      </c>
      <c r="C11" s="24">
        <f>SUMIFS(流水记录!$I$4:$I$503,流水记录!$B$4:$B$503,A11,流水记录!$D$4:$D$503,"收入",流水记录!$E$4:$E$503,"&lt;&gt;工资")</f>
        <v>0</v>
      </c>
      <c r="D11" s="24">
        <f t="shared" si="0"/>
        <v>0</v>
      </c>
      <c r="E11" s="24">
        <f>IF(D11=0,参数设置!$B$6,D11)</f>
        <v>7000</v>
      </c>
      <c r="F11" s="24">
        <f>参数设置!$B$6*参数设置!$B$8</f>
        <v>3500</v>
      </c>
      <c r="G11" s="24">
        <f>参数设置!$B$6*参数设置!$B$9</f>
        <v>2100</v>
      </c>
      <c r="H11" s="24">
        <f>参数设置!$B$6*参数设置!$B$10</f>
        <v>1400</v>
      </c>
      <c r="I11" s="24">
        <f>MAX(0,E11-参数设置!$B$6)</f>
        <v>0</v>
      </c>
      <c r="J11" s="24">
        <f>I11*参数设置!$B$14</f>
        <v>0</v>
      </c>
      <c r="K11" s="24">
        <f>I11*参数设置!$B$15</f>
        <v>0</v>
      </c>
      <c r="L11" s="24">
        <f>I11*参数设置!$B$16</f>
        <v>0</v>
      </c>
      <c r="M11" s="24">
        <f t="shared" si="1"/>
        <v>2100</v>
      </c>
      <c r="N11" s="24">
        <f t="shared" si="2"/>
        <v>0</v>
      </c>
      <c r="O11" s="24">
        <f t="shared" si="3"/>
        <v>1400</v>
      </c>
      <c r="P11" s="24">
        <f>SUMIFS(流水记录!$I$4:$I$503,流水记录!$B$4:$B$503,A11,流水记录!$D$4:$D$503,"必要支出")</f>
        <v>0</v>
      </c>
      <c r="Q11" s="24">
        <f>SUMIFS(流水记录!$I$4:$I$503,流水记录!$B$4:$B$503,A11,流水记录!$D$4:$D$503,"储蓄投资")</f>
        <v>0</v>
      </c>
      <c r="R11" s="24">
        <f>SUMIFS(流水记录!$I$4:$I$503,流水记录!$B$4:$B$503,A11,流水记录!$D$4:$D$503,"弹性消费")</f>
        <v>0</v>
      </c>
      <c r="S11" s="24">
        <f>SUMIFS(流水记录!$I$4:$I$503,流水记录!$B$4:$B$503,A11,流水记录!$D$4:$D$503,"债务还款")</f>
        <v>0</v>
      </c>
      <c r="T11" s="24">
        <f>SUMIFS(流水记录!$I$4:$I$503,流水记录!$B$4:$B$503,A11,流水记录!$D$4:$D$503,"专项准备金")</f>
        <v>0</v>
      </c>
      <c r="U11" s="24" t="str">
        <f t="shared" si="4"/>
        <v/>
      </c>
      <c r="V11" s="25">
        <f t="shared" si="5"/>
        <v>0</v>
      </c>
      <c r="W11" s="26" t="str">
        <f t="shared" si="6"/>
        <v>待录入</v>
      </c>
      <c r="X11" s="27"/>
    </row>
    <row r="12" ht="17" spans="1:26">
      <c r="A12" s="23">
        <f>DATE(参数设置!$B$13,7,1)</f>
        <v>46204</v>
      </c>
      <c r="B12" s="24">
        <f>SUMIFS(流水记录!$I$4:$I$503,流水记录!$B$4:$B$503,A12,流水记录!$D$4:$D$503,"收入",流水记录!$E$4:$E$503,"工资")</f>
        <v>0</v>
      </c>
      <c r="C12" s="24">
        <f>SUMIFS(流水记录!$I$4:$I$503,流水记录!$B$4:$B$503,A12,流水记录!$D$4:$D$503,"收入",流水记录!$E$4:$E$503,"&lt;&gt;工资")</f>
        <v>0</v>
      </c>
      <c r="D12" s="24">
        <f t="shared" si="0"/>
        <v>0</v>
      </c>
      <c r="E12" s="24">
        <f>IF(D12=0,参数设置!$B$6,D12)</f>
        <v>7000</v>
      </c>
      <c r="F12" s="24">
        <f>参数设置!$B$6*参数设置!$B$8</f>
        <v>3500</v>
      </c>
      <c r="G12" s="24">
        <f>参数设置!$B$6*参数设置!$B$9</f>
        <v>2100</v>
      </c>
      <c r="H12" s="24">
        <f>参数设置!$B$6*参数设置!$B$10</f>
        <v>1400</v>
      </c>
      <c r="I12" s="24">
        <f>MAX(0,E12-参数设置!$B$6)</f>
        <v>0</v>
      </c>
      <c r="J12" s="24">
        <f>I12*参数设置!$B$14</f>
        <v>0</v>
      </c>
      <c r="K12" s="24">
        <f>I12*参数设置!$B$15</f>
        <v>0</v>
      </c>
      <c r="L12" s="24">
        <f>I12*参数设置!$B$16</f>
        <v>0</v>
      </c>
      <c r="M12" s="24">
        <f t="shared" si="1"/>
        <v>2100</v>
      </c>
      <c r="N12" s="24">
        <f t="shared" si="2"/>
        <v>0</v>
      </c>
      <c r="O12" s="24">
        <f t="shared" si="3"/>
        <v>1400</v>
      </c>
      <c r="P12" s="24">
        <f>SUMIFS(流水记录!$I$4:$I$503,流水记录!$B$4:$B$503,A12,流水记录!$D$4:$D$503,"必要支出")</f>
        <v>0</v>
      </c>
      <c r="Q12" s="24">
        <f>SUMIFS(流水记录!$I$4:$I$503,流水记录!$B$4:$B$503,A12,流水记录!$D$4:$D$503,"储蓄投资")</f>
        <v>0</v>
      </c>
      <c r="R12" s="24">
        <f>SUMIFS(流水记录!$I$4:$I$503,流水记录!$B$4:$B$503,A12,流水记录!$D$4:$D$503,"弹性消费")</f>
        <v>0</v>
      </c>
      <c r="S12" s="24">
        <f>SUMIFS(流水记录!$I$4:$I$503,流水记录!$B$4:$B$503,A12,流水记录!$D$4:$D$503,"债务还款")</f>
        <v>0</v>
      </c>
      <c r="T12" s="24">
        <f>SUMIFS(流水记录!$I$4:$I$503,流水记录!$B$4:$B$503,A12,流水记录!$D$4:$D$503,"专项准备金")</f>
        <v>0</v>
      </c>
      <c r="U12" s="24" t="str">
        <f t="shared" si="4"/>
        <v/>
      </c>
      <c r="V12" s="25">
        <f t="shared" si="5"/>
        <v>0</v>
      </c>
      <c r="W12" s="26" t="str">
        <f t="shared" si="6"/>
        <v>待录入</v>
      </c>
      <c r="X12" s="27"/>
    </row>
    <row r="13" ht="17" spans="1:26">
      <c r="A13" s="23">
        <f>DATE(参数设置!$B$13,8,1)</f>
        <v>46235</v>
      </c>
      <c r="B13" s="24">
        <f>SUMIFS(流水记录!$I$4:$I$503,流水记录!$B$4:$B$503,A13,流水记录!$D$4:$D$503,"收入",流水记录!$E$4:$E$503,"工资")</f>
        <v>0</v>
      </c>
      <c r="C13" s="24">
        <f>SUMIFS(流水记录!$I$4:$I$503,流水记录!$B$4:$B$503,A13,流水记录!$D$4:$D$503,"收入",流水记录!$E$4:$E$503,"&lt;&gt;工资")</f>
        <v>0</v>
      </c>
      <c r="D13" s="24">
        <f t="shared" si="0"/>
        <v>0</v>
      </c>
      <c r="E13" s="24">
        <f>IF(D13=0,参数设置!$B$6,D13)</f>
        <v>7000</v>
      </c>
      <c r="F13" s="24">
        <f>参数设置!$B$6*参数设置!$B$8</f>
        <v>3500</v>
      </c>
      <c r="G13" s="24">
        <f>参数设置!$B$6*参数设置!$B$9</f>
        <v>2100</v>
      </c>
      <c r="H13" s="24">
        <f>参数设置!$B$6*参数设置!$B$10</f>
        <v>1400</v>
      </c>
      <c r="I13" s="24">
        <f>MAX(0,E13-参数设置!$B$6)</f>
        <v>0</v>
      </c>
      <c r="J13" s="24">
        <f>I13*参数设置!$B$14</f>
        <v>0</v>
      </c>
      <c r="K13" s="24">
        <f>I13*参数设置!$B$15</f>
        <v>0</v>
      </c>
      <c r="L13" s="24">
        <f>I13*参数设置!$B$16</f>
        <v>0</v>
      </c>
      <c r="M13" s="24">
        <f t="shared" si="1"/>
        <v>2100</v>
      </c>
      <c r="N13" s="24">
        <f t="shared" si="2"/>
        <v>0</v>
      </c>
      <c r="O13" s="24">
        <f t="shared" si="3"/>
        <v>1400</v>
      </c>
      <c r="P13" s="24">
        <f>SUMIFS(流水记录!$I$4:$I$503,流水记录!$B$4:$B$503,A13,流水记录!$D$4:$D$503,"必要支出")</f>
        <v>0</v>
      </c>
      <c r="Q13" s="24">
        <f>SUMIFS(流水记录!$I$4:$I$503,流水记录!$B$4:$B$503,A13,流水记录!$D$4:$D$503,"储蓄投资")</f>
        <v>0</v>
      </c>
      <c r="R13" s="24">
        <f>SUMIFS(流水记录!$I$4:$I$503,流水记录!$B$4:$B$503,A13,流水记录!$D$4:$D$503,"弹性消费")</f>
        <v>0</v>
      </c>
      <c r="S13" s="24">
        <f>SUMIFS(流水记录!$I$4:$I$503,流水记录!$B$4:$B$503,A13,流水记录!$D$4:$D$503,"债务还款")</f>
        <v>0</v>
      </c>
      <c r="T13" s="24">
        <f>SUMIFS(流水记录!$I$4:$I$503,流水记录!$B$4:$B$503,A13,流水记录!$D$4:$D$503,"专项准备金")</f>
        <v>0</v>
      </c>
      <c r="U13" s="24" t="str">
        <f t="shared" si="4"/>
        <v/>
      </c>
      <c r="V13" s="25">
        <f t="shared" si="5"/>
        <v>0</v>
      </c>
      <c r="W13" s="26" t="str">
        <f t="shared" si="6"/>
        <v>待录入</v>
      </c>
      <c r="X13" s="27"/>
    </row>
    <row r="14" ht="17" spans="1:26">
      <c r="A14" s="23">
        <f>DATE(参数设置!$B$13,9,1)</f>
        <v>46266</v>
      </c>
      <c r="B14" s="24">
        <f>SUMIFS(流水记录!$I$4:$I$503,流水记录!$B$4:$B$503,A14,流水记录!$D$4:$D$503,"收入",流水记录!$E$4:$E$503,"工资")</f>
        <v>0</v>
      </c>
      <c r="C14" s="24">
        <f>SUMIFS(流水记录!$I$4:$I$503,流水记录!$B$4:$B$503,A14,流水记录!$D$4:$D$503,"收入",流水记录!$E$4:$E$503,"&lt;&gt;工资")</f>
        <v>0</v>
      </c>
      <c r="D14" s="24">
        <f t="shared" si="0"/>
        <v>0</v>
      </c>
      <c r="E14" s="24">
        <f>IF(D14=0,参数设置!$B$6,D14)</f>
        <v>7000</v>
      </c>
      <c r="F14" s="24">
        <f>参数设置!$B$6*参数设置!$B$8</f>
        <v>3500</v>
      </c>
      <c r="G14" s="24">
        <f>参数设置!$B$6*参数设置!$B$9</f>
        <v>2100</v>
      </c>
      <c r="H14" s="24">
        <f>参数设置!$B$6*参数设置!$B$10</f>
        <v>1400</v>
      </c>
      <c r="I14" s="24">
        <f>MAX(0,E14-参数设置!$B$6)</f>
        <v>0</v>
      </c>
      <c r="J14" s="24">
        <f>I14*参数设置!$B$14</f>
        <v>0</v>
      </c>
      <c r="K14" s="24">
        <f>I14*参数设置!$B$15</f>
        <v>0</v>
      </c>
      <c r="L14" s="24">
        <f>I14*参数设置!$B$16</f>
        <v>0</v>
      </c>
      <c r="M14" s="24">
        <f t="shared" si="1"/>
        <v>2100</v>
      </c>
      <c r="N14" s="24">
        <f t="shared" si="2"/>
        <v>0</v>
      </c>
      <c r="O14" s="24">
        <f t="shared" si="3"/>
        <v>1400</v>
      </c>
      <c r="P14" s="24">
        <f>SUMIFS(流水记录!$I$4:$I$503,流水记录!$B$4:$B$503,A14,流水记录!$D$4:$D$503,"必要支出")</f>
        <v>0</v>
      </c>
      <c r="Q14" s="24">
        <f>SUMIFS(流水记录!$I$4:$I$503,流水记录!$B$4:$B$503,A14,流水记录!$D$4:$D$503,"储蓄投资")</f>
        <v>0</v>
      </c>
      <c r="R14" s="24">
        <f>SUMIFS(流水记录!$I$4:$I$503,流水记录!$B$4:$B$503,A14,流水记录!$D$4:$D$503,"弹性消费")</f>
        <v>0</v>
      </c>
      <c r="S14" s="24">
        <f>SUMIFS(流水记录!$I$4:$I$503,流水记录!$B$4:$B$503,A14,流水记录!$D$4:$D$503,"债务还款")</f>
        <v>0</v>
      </c>
      <c r="T14" s="24">
        <f>SUMIFS(流水记录!$I$4:$I$503,流水记录!$B$4:$B$503,A14,流水记录!$D$4:$D$503,"专项准备金")</f>
        <v>0</v>
      </c>
      <c r="U14" s="24" t="str">
        <f t="shared" si="4"/>
        <v/>
      </c>
      <c r="V14" s="25">
        <f t="shared" si="5"/>
        <v>0</v>
      </c>
      <c r="W14" s="26" t="str">
        <f t="shared" si="6"/>
        <v>待录入</v>
      </c>
      <c r="X14" s="27"/>
    </row>
    <row r="15" ht="17" spans="1:26">
      <c r="A15" s="23">
        <f>DATE(参数设置!$B$13,10,1)</f>
        <v>46296</v>
      </c>
      <c r="B15" s="24">
        <f>SUMIFS(流水记录!$I$4:$I$503,流水记录!$B$4:$B$503,A15,流水记录!$D$4:$D$503,"收入",流水记录!$E$4:$E$503,"工资")</f>
        <v>0</v>
      </c>
      <c r="C15" s="24">
        <f>SUMIFS(流水记录!$I$4:$I$503,流水记录!$B$4:$B$503,A15,流水记录!$D$4:$D$503,"收入",流水记录!$E$4:$E$503,"&lt;&gt;工资")</f>
        <v>0</v>
      </c>
      <c r="D15" s="24">
        <f t="shared" si="0"/>
        <v>0</v>
      </c>
      <c r="E15" s="24">
        <f>IF(D15=0,参数设置!$B$6,D15)</f>
        <v>7000</v>
      </c>
      <c r="F15" s="24">
        <f>参数设置!$B$6*参数设置!$B$8</f>
        <v>3500</v>
      </c>
      <c r="G15" s="24">
        <f>参数设置!$B$6*参数设置!$B$9</f>
        <v>2100</v>
      </c>
      <c r="H15" s="24">
        <f>参数设置!$B$6*参数设置!$B$10</f>
        <v>1400</v>
      </c>
      <c r="I15" s="24">
        <f>MAX(0,E15-参数设置!$B$6)</f>
        <v>0</v>
      </c>
      <c r="J15" s="24">
        <f>I15*参数设置!$B$14</f>
        <v>0</v>
      </c>
      <c r="K15" s="24">
        <f>I15*参数设置!$B$15</f>
        <v>0</v>
      </c>
      <c r="L15" s="24">
        <f>I15*参数设置!$B$16</f>
        <v>0</v>
      </c>
      <c r="M15" s="24">
        <f t="shared" si="1"/>
        <v>2100</v>
      </c>
      <c r="N15" s="24">
        <f t="shared" si="2"/>
        <v>0</v>
      </c>
      <c r="O15" s="24">
        <f t="shared" si="3"/>
        <v>1400</v>
      </c>
      <c r="P15" s="24">
        <f>SUMIFS(流水记录!$I$4:$I$503,流水记录!$B$4:$B$503,A15,流水记录!$D$4:$D$503,"必要支出")</f>
        <v>0</v>
      </c>
      <c r="Q15" s="24">
        <f>SUMIFS(流水记录!$I$4:$I$503,流水记录!$B$4:$B$503,A15,流水记录!$D$4:$D$503,"储蓄投资")</f>
        <v>0</v>
      </c>
      <c r="R15" s="24">
        <f>SUMIFS(流水记录!$I$4:$I$503,流水记录!$B$4:$B$503,A15,流水记录!$D$4:$D$503,"弹性消费")</f>
        <v>0</v>
      </c>
      <c r="S15" s="24">
        <f>SUMIFS(流水记录!$I$4:$I$503,流水记录!$B$4:$B$503,A15,流水记录!$D$4:$D$503,"债务还款")</f>
        <v>0</v>
      </c>
      <c r="T15" s="24">
        <f>SUMIFS(流水记录!$I$4:$I$503,流水记录!$B$4:$B$503,A15,流水记录!$D$4:$D$503,"专项准备金")</f>
        <v>0</v>
      </c>
      <c r="U15" s="24" t="str">
        <f t="shared" si="4"/>
        <v/>
      </c>
      <c r="V15" s="25">
        <f t="shared" si="5"/>
        <v>0</v>
      </c>
      <c r="W15" s="26" t="str">
        <f t="shared" si="6"/>
        <v>待录入</v>
      </c>
      <c r="X15" s="27"/>
    </row>
    <row r="16" ht="17" spans="1:26">
      <c r="A16" s="23">
        <f>DATE(参数设置!$B$13,11,1)</f>
        <v>46327</v>
      </c>
      <c r="B16" s="24">
        <f>SUMIFS(流水记录!$I$4:$I$503,流水记录!$B$4:$B$503,A16,流水记录!$D$4:$D$503,"收入",流水记录!$E$4:$E$503,"工资")</f>
        <v>0</v>
      </c>
      <c r="C16" s="24">
        <f>SUMIFS(流水记录!$I$4:$I$503,流水记录!$B$4:$B$503,A16,流水记录!$D$4:$D$503,"收入",流水记录!$E$4:$E$503,"&lt;&gt;工资")</f>
        <v>0</v>
      </c>
      <c r="D16" s="24">
        <f t="shared" si="0"/>
        <v>0</v>
      </c>
      <c r="E16" s="24">
        <f>IF(D16=0,参数设置!$B$6,D16)</f>
        <v>7000</v>
      </c>
      <c r="F16" s="24">
        <f>参数设置!$B$6*参数设置!$B$8</f>
        <v>3500</v>
      </c>
      <c r="G16" s="24">
        <f>参数设置!$B$6*参数设置!$B$9</f>
        <v>2100</v>
      </c>
      <c r="H16" s="24">
        <f>参数设置!$B$6*参数设置!$B$10</f>
        <v>1400</v>
      </c>
      <c r="I16" s="24">
        <f>MAX(0,E16-参数设置!$B$6)</f>
        <v>0</v>
      </c>
      <c r="J16" s="24">
        <f>I16*参数设置!$B$14</f>
        <v>0</v>
      </c>
      <c r="K16" s="24">
        <f>I16*参数设置!$B$15</f>
        <v>0</v>
      </c>
      <c r="L16" s="24">
        <f>I16*参数设置!$B$16</f>
        <v>0</v>
      </c>
      <c r="M16" s="24">
        <f t="shared" si="1"/>
        <v>2100</v>
      </c>
      <c r="N16" s="24">
        <f t="shared" si="2"/>
        <v>0</v>
      </c>
      <c r="O16" s="24">
        <f t="shared" si="3"/>
        <v>1400</v>
      </c>
      <c r="P16" s="24">
        <f>SUMIFS(流水记录!$I$4:$I$503,流水记录!$B$4:$B$503,A16,流水记录!$D$4:$D$503,"必要支出")</f>
        <v>0</v>
      </c>
      <c r="Q16" s="24">
        <f>SUMIFS(流水记录!$I$4:$I$503,流水记录!$B$4:$B$503,A16,流水记录!$D$4:$D$503,"储蓄投资")</f>
        <v>0</v>
      </c>
      <c r="R16" s="24">
        <f>SUMIFS(流水记录!$I$4:$I$503,流水记录!$B$4:$B$503,A16,流水记录!$D$4:$D$503,"弹性消费")</f>
        <v>0</v>
      </c>
      <c r="S16" s="24">
        <f>SUMIFS(流水记录!$I$4:$I$503,流水记录!$B$4:$B$503,A16,流水记录!$D$4:$D$503,"债务还款")</f>
        <v>0</v>
      </c>
      <c r="T16" s="24">
        <f>SUMIFS(流水记录!$I$4:$I$503,流水记录!$B$4:$B$503,A16,流水记录!$D$4:$D$503,"专项准备金")</f>
        <v>0</v>
      </c>
      <c r="U16" s="24" t="str">
        <f t="shared" si="4"/>
        <v/>
      </c>
      <c r="V16" s="25">
        <f t="shared" si="5"/>
        <v>0</v>
      </c>
      <c r="W16" s="26" t="str">
        <f t="shared" si="6"/>
        <v>待录入</v>
      </c>
      <c r="X16" s="27"/>
    </row>
    <row r="17" ht="17" spans="1:24">
      <c r="A17" s="23">
        <f>DATE(参数设置!$B$13,12,1)</f>
        <v>46357</v>
      </c>
      <c r="B17" s="24">
        <f>SUMIFS(流水记录!$I$4:$I$503,流水记录!$B$4:$B$503,A17,流水记录!$D$4:$D$503,"收入",流水记录!$E$4:$E$503,"工资")</f>
        <v>0</v>
      </c>
      <c r="C17" s="24">
        <f>SUMIFS(流水记录!$I$4:$I$503,流水记录!$B$4:$B$503,A17,流水记录!$D$4:$D$503,"收入",流水记录!$E$4:$E$503,"&lt;&gt;工资")</f>
        <v>0</v>
      </c>
      <c r="D17" s="24">
        <f t="shared" si="0"/>
        <v>0</v>
      </c>
      <c r="E17" s="24">
        <f>IF(D17=0,参数设置!$B$6,D17)</f>
        <v>7000</v>
      </c>
      <c r="F17" s="24">
        <f>参数设置!$B$6*参数设置!$B$8</f>
        <v>3500</v>
      </c>
      <c r="G17" s="24">
        <f>参数设置!$B$6*参数设置!$B$9</f>
        <v>2100</v>
      </c>
      <c r="H17" s="24">
        <f>参数设置!$B$6*参数设置!$B$10</f>
        <v>1400</v>
      </c>
      <c r="I17" s="24">
        <f>MAX(0,E17-参数设置!$B$6)</f>
        <v>0</v>
      </c>
      <c r="J17" s="24">
        <f>I17*参数设置!$B$14</f>
        <v>0</v>
      </c>
      <c r="K17" s="24">
        <f>I17*参数设置!$B$15</f>
        <v>0</v>
      </c>
      <c r="L17" s="24">
        <f>I17*参数设置!$B$16</f>
        <v>0</v>
      </c>
      <c r="M17" s="24">
        <f t="shared" si="1"/>
        <v>2100</v>
      </c>
      <c r="N17" s="24">
        <f t="shared" si="2"/>
        <v>0</v>
      </c>
      <c r="O17" s="24">
        <f t="shared" si="3"/>
        <v>1400</v>
      </c>
      <c r="P17" s="24">
        <f>SUMIFS(流水记录!$I$4:$I$503,流水记录!$B$4:$B$503,A17,流水记录!$D$4:$D$503,"必要支出")</f>
        <v>0</v>
      </c>
      <c r="Q17" s="24">
        <f>SUMIFS(流水记录!$I$4:$I$503,流水记录!$B$4:$B$503,A17,流水记录!$D$4:$D$503,"储蓄投资")</f>
        <v>0</v>
      </c>
      <c r="R17" s="24">
        <f>SUMIFS(流水记录!$I$4:$I$503,流水记录!$B$4:$B$503,A17,流水记录!$D$4:$D$503,"弹性消费")</f>
        <v>0</v>
      </c>
      <c r="S17" s="24">
        <f>SUMIFS(流水记录!$I$4:$I$503,流水记录!$B$4:$B$503,A17,流水记录!$D$4:$D$503,"债务还款")</f>
        <v>0</v>
      </c>
      <c r="T17" s="24">
        <f>SUMIFS(流水记录!$I$4:$I$503,流水记录!$B$4:$B$503,A17,流水记录!$D$4:$D$503,"专项准备金")</f>
        <v>0</v>
      </c>
      <c r="U17" s="24" t="str">
        <f t="shared" si="4"/>
        <v/>
      </c>
      <c r="V17" s="25">
        <f t="shared" si="5"/>
        <v>0</v>
      </c>
      <c r="W17" s="26" t="str">
        <f t="shared" si="6"/>
        <v>待录入</v>
      </c>
      <c r="X17" s="27"/>
    </row>
  </sheetData>
  <mergeCells count="2">
    <mergeCell ref="A1:X1"/>
    <mergeCell ref="A3:X3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"/>
  <sheetViews>
    <sheetView workbookViewId="0">
      <selection activeCell="A1" sqref="A1:N1"/>
    </sheetView>
  </sheetViews>
  <sheetFormatPr defaultColWidth="9" defaultRowHeight="16.8"/>
  <cols>
    <col min="1" max="1" width="14" customWidth="1"/>
    <col min="2" max="5" width="13" customWidth="1"/>
    <col min="6" max="6" width="16" customWidth="1"/>
    <col min="7" max="7" width="14" customWidth="1"/>
    <col min="8" max="8" width="12" customWidth="1"/>
    <col min="9" max="9" width="3" customWidth="1"/>
    <col min="10" max="10" width="14" customWidth="1"/>
    <col min="11" max="11" width="16" customWidth="1"/>
    <col min="12" max="12" width="13" customWidth="1"/>
    <col min="13" max="13" width="12" customWidth="1"/>
    <col min="14" max="14" width="16" customWidth="1"/>
  </cols>
  <sheetData>
    <row r="1" ht="26" customHeight="1" spans="1:26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>
      <c r="A3" s="19" t="s">
        <v>187</v>
      </c>
      <c r="B3" s="20">
        <f>月度预算!$A$6</f>
        <v>46023</v>
      </c>
    </row>
    <row r="5" ht="24" customHeight="1" spans="1:26">
      <c r="A5" s="3" t="s">
        <v>161</v>
      </c>
      <c r="B5" s="3" t="s">
        <v>162</v>
      </c>
      <c r="C5" s="3" t="s">
        <v>163</v>
      </c>
      <c r="D5" s="3" t="s">
        <v>164</v>
      </c>
      <c r="E5" s="3" t="s">
        <v>169</v>
      </c>
      <c r="F5" s="3" t="s">
        <v>188</v>
      </c>
      <c r="G5" s="3" t="s">
        <v>189</v>
      </c>
      <c r="H5" s="3" t="s">
        <v>190</v>
      </c>
      <c r="J5" s="1" t="s">
        <v>191</v>
      </c>
      <c r="K5" s="1"/>
      <c r="L5" s="1"/>
      <c r="M5" s="1"/>
      <c r="N5" s="1"/>
    </row>
    <row r="6" ht="34" spans="1:26">
      <c r="A6" s="10">
        <f>INDEX(月度预算!$B$6:$B$17,MATCH($B$3,月度预算!$A$6:$A$17,0))</f>
        <v>7800</v>
      </c>
      <c r="B6" s="10">
        <f>INDEX(月度预算!$C$6:$C$17,MATCH($B$3,月度预算!$A$6:$A$17,0))</f>
        <v>1300</v>
      </c>
      <c r="C6" s="10">
        <f>INDEX(月度预算!$D$6:$D$17,MATCH($B$3,月度预算!$A$6:$A$17,0))</f>
        <v>9100</v>
      </c>
      <c r="D6" s="10">
        <f>INDEX(月度预算!$I$6:$I$17,MATCH($B$3,月度预算!$A$6:$A$17,0))</f>
        <v>2100</v>
      </c>
      <c r="E6" s="10">
        <f>INDEX(月度预算!$U$6:$U$17,MATCH($B$3,月度预算!$A$6:$A$17,0))</f>
        <v>200</v>
      </c>
      <c r="F6" s="7">
        <f>INDEX(月度预算!$V$6:$V$17,MATCH($B$3,月度预算!$A$6:$A$17,0))</f>
        <v>0.43956043956044</v>
      </c>
      <c r="G6" s="7">
        <f>应急金!$B$12</f>
        <v>0.1</v>
      </c>
      <c r="H6" s="10">
        <f>资产配置!$B$11-债务管理!$B$24</f>
        <v>15200</v>
      </c>
      <c r="J6" s="21" t="s">
        <v>192</v>
      </c>
      <c r="K6" s="21" t="s">
        <v>193</v>
      </c>
      <c r="L6" s="21"/>
      <c r="M6" s="21"/>
      <c r="N6" s="21"/>
    </row>
    <row r="7" ht="51" spans="1:26">
      <c r="J7" s="21" t="s">
        <v>194</v>
      </c>
      <c r="K7" s="21" t="s">
        <v>195</v>
      </c>
      <c r="L7" s="21"/>
      <c r="M7" s="21"/>
      <c r="N7" s="21"/>
    </row>
    <row r="8" ht="34" spans="1:26">
      <c r="A8" s="19" t="s">
        <v>196</v>
      </c>
      <c r="B8" s="19"/>
      <c r="C8" s="19"/>
      <c r="D8" s="19"/>
      <c r="J8" s="21" t="s">
        <v>197</v>
      </c>
      <c r="K8" s="21" t="s">
        <v>198</v>
      </c>
      <c r="L8" s="21"/>
      <c r="M8" s="21"/>
      <c r="N8" s="21"/>
    </row>
    <row r="9" ht="24" customHeight="1" spans="1:26">
      <c r="A9" s="3" t="s">
        <v>199</v>
      </c>
      <c r="B9" s="3" t="s">
        <v>102</v>
      </c>
      <c r="C9" s="3" t="s">
        <v>200</v>
      </c>
      <c r="D9" s="3" t="s">
        <v>201</v>
      </c>
      <c r="J9" s="21" t="s">
        <v>202</v>
      </c>
      <c r="K9" s="21" t="s">
        <v>203</v>
      </c>
      <c r="L9" s="21"/>
      <c r="M9" s="21"/>
      <c r="N9" s="21"/>
    </row>
    <row r="10" spans="1:26">
      <c r="A10" s="19" t="s">
        <v>35</v>
      </c>
      <c r="B10" s="10">
        <f>INDEX(月度预算!$F$6:$F$17,MATCH($B$3,月度预算!$A$6:$A$17,0))</f>
        <v>3500</v>
      </c>
      <c r="C10" s="10">
        <f>INDEX(月度预算!$P$6:$P$17,MATCH($B$3,月度预算!$A$6:$A$17,0))</f>
        <v>3900</v>
      </c>
      <c r="D10" s="10">
        <f>C10-B10</f>
        <v>400</v>
      </c>
    </row>
    <row r="11" spans="1:26">
      <c r="A11" s="19" t="s">
        <v>204</v>
      </c>
      <c r="B11" s="10">
        <f>INDEX(月度预算!$M$6:$M$17,MATCH($B$3,月度预算!$A$6:$A$17,0))</f>
        <v>3570</v>
      </c>
      <c r="C11" s="10">
        <f>INDEX(月度预算!$Q$6:$Q$17,MATCH($B$3,月度预算!$A$6:$A$17,0))+INDEX(月度预算!$S$6:$S$17,MATCH($B$3,月度预算!$A$6:$A$17,0))</f>
        <v>3600</v>
      </c>
      <c r="D11" s="10">
        <f>C11-B11</f>
        <v>30</v>
      </c>
    </row>
    <row r="12" spans="1:26">
      <c r="A12" s="19" t="s">
        <v>60</v>
      </c>
      <c r="B12" s="10">
        <f>INDEX(月度预算!$N$6:$N$17,MATCH($B$3,月度预算!$A$6:$A$17,0))</f>
        <v>420</v>
      </c>
      <c r="C12" s="10">
        <f>INDEX(月度预算!$T$6:$T$17,MATCH($B$3,月度预算!$A$6:$A$17,0))</f>
        <v>400</v>
      </c>
      <c r="D12" s="10">
        <f>C12-B12</f>
        <v>-20</v>
      </c>
    </row>
    <row r="13" spans="1:26">
      <c r="A13" s="19" t="s">
        <v>49</v>
      </c>
      <c r="B13" s="10">
        <f>INDEX(月度预算!$O$6:$O$17,MATCH($B$3,月度预算!$A$6:$A$17,0))</f>
        <v>1610</v>
      </c>
      <c r="C13" s="10">
        <f>INDEX(月度预算!$R$6:$R$17,MATCH($B$3,月度预算!$A$6:$A$17,0))</f>
        <v>1000</v>
      </c>
      <c r="D13" s="10">
        <f>C13-B13</f>
        <v>-610</v>
      </c>
    </row>
    <row r="16" ht="24" customHeight="1" spans="1:26">
      <c r="A16" s="3" t="s">
        <v>111</v>
      </c>
      <c r="B16" s="3" t="s">
        <v>163</v>
      </c>
      <c r="C16" s="3" t="s">
        <v>205</v>
      </c>
      <c r="D16" s="3" t="s">
        <v>188</v>
      </c>
    </row>
    <row r="17" spans="1:14">
      <c r="A17" s="8" t="str">
        <f>TEXT(月度预算!A6,"yyyy-mm")</f>
        <v>2026-01</v>
      </c>
      <c r="B17" s="10">
        <f>IF(月度预算!D6=0,"",月度预算!D6)</f>
        <v>9100</v>
      </c>
      <c r="C17" s="10">
        <f>IF(月度预算!D6=0,"",月度预算!U6)</f>
        <v>200</v>
      </c>
      <c r="D17" s="7">
        <f>IF(月度预算!D6=0,"",月度预算!V6)</f>
        <v>0.43956043956044</v>
      </c>
    </row>
    <row r="18" ht="24" customHeight="1" spans="1:14">
      <c r="A18" s="8" t="str">
        <f>TEXT(月度预算!A7,"yyyy-mm")</f>
        <v>2026-02</v>
      </c>
      <c r="B18" s="10" t="str">
        <f>IF(月度预算!D7=0,"",月度预算!D7)</f>
        <v/>
      </c>
      <c r="C18" s="10" t="str">
        <f>IF(月度预算!D7=0,"",月度预算!U7)</f>
        <v/>
      </c>
      <c r="D18" s="7" t="str">
        <f>IF(月度预算!D7=0,"",月度预算!V7)</f>
        <v/>
      </c>
      <c r="F18" s="3" t="s">
        <v>206</v>
      </c>
      <c r="G18" s="3" t="s">
        <v>207</v>
      </c>
      <c r="H18" s="3" t="s">
        <v>208</v>
      </c>
      <c r="K18" s="3" t="s">
        <v>209</v>
      </c>
      <c r="L18" s="3" t="s">
        <v>210</v>
      </c>
      <c r="M18" s="3" t="s">
        <v>211</v>
      </c>
      <c r="N18" s="3" t="s">
        <v>102</v>
      </c>
    </row>
    <row r="19" spans="1:14">
      <c r="A19" s="8" t="str">
        <f>TEXT(月度预算!A8,"yyyy-mm")</f>
        <v>2026-03</v>
      </c>
      <c r="B19" s="10" t="str">
        <f>IF(月度预算!D8=0,"",月度预算!D8)</f>
        <v/>
      </c>
      <c r="C19" s="10" t="str">
        <f>IF(月度预算!D8=0,"",月度预算!U8)</f>
        <v/>
      </c>
      <c r="D19" s="7" t="str">
        <f>IF(月度预算!D8=0,"",月度预算!V8)</f>
        <v/>
      </c>
      <c r="F19" s="8" t="str">
        <f>资产配置!A4</f>
        <v>现金/活期</v>
      </c>
      <c r="G19" s="10">
        <f>资产配置!B4</f>
        <v>3000</v>
      </c>
      <c r="H19" s="7">
        <f>资产配置!D4</f>
        <v>0.197368421052632</v>
      </c>
      <c r="K19" s="8" t="str">
        <f>IF(债务管理!A4="","",债务管理!A4)</f>
        <v>信用卡分期</v>
      </c>
      <c r="L19" s="10">
        <f>IF(K19="","",债务管理!B4)</f>
        <v>0</v>
      </c>
      <c r="M19" s="22">
        <f>IF(K19="","",债务管理!C4)</f>
        <v>0</v>
      </c>
      <c r="N19" s="8" t="str">
        <f>IF(K19="","",债务管理!I4)</f>
        <v/>
      </c>
    </row>
    <row r="20" spans="1:14">
      <c r="A20" s="8" t="str">
        <f>TEXT(月度预算!A9,"yyyy-mm")</f>
        <v>2026-04</v>
      </c>
      <c r="B20" s="10" t="str">
        <f>IF(月度预算!D9=0,"",月度预算!D9)</f>
        <v/>
      </c>
      <c r="C20" s="10" t="str">
        <f>IF(月度预算!D9=0,"",月度预算!U9)</f>
        <v/>
      </c>
      <c r="D20" s="7" t="str">
        <f>IF(月度预算!D9=0,"",月度预算!V9)</f>
        <v/>
      </c>
      <c r="F20" s="8" t="str">
        <f>资产配置!A5</f>
        <v>应急金</v>
      </c>
      <c r="G20" s="10">
        <f>资产配置!B5</f>
        <v>1200</v>
      </c>
      <c r="H20" s="7">
        <f>资产配置!D5</f>
        <v>0.0789473684210526</v>
      </c>
      <c r="K20" s="8" t="str">
        <f>IF(债务管理!A5="","",债务管理!A5)</f>
        <v>消费贷</v>
      </c>
      <c r="L20" s="10">
        <f>IF(K20="","",债务管理!B5)</f>
        <v>0</v>
      </c>
      <c r="M20" s="22">
        <f>IF(K20="","",债务管理!C5)</f>
        <v>0</v>
      </c>
      <c r="N20" s="8" t="str">
        <f>IF(K20="","",债务管理!I5)</f>
        <v/>
      </c>
    </row>
    <row r="21" spans="1:14">
      <c r="A21" s="8" t="str">
        <f>TEXT(月度预算!A10,"yyyy-mm")</f>
        <v>2026-05</v>
      </c>
      <c r="B21" s="10" t="str">
        <f>IF(月度预算!D10=0,"",月度预算!D10)</f>
        <v/>
      </c>
      <c r="C21" s="10" t="str">
        <f>IF(月度预算!D10=0,"",月度预算!U10)</f>
        <v/>
      </c>
      <c r="D21" s="7" t="str">
        <f>IF(月度预算!D10=0,"",月度预算!V10)</f>
        <v/>
      </c>
      <c r="F21" s="8" t="str">
        <f>资产配置!A6</f>
        <v>债券/固收</v>
      </c>
      <c r="G21" s="10">
        <f>资产配置!B6</f>
        <v>4000</v>
      </c>
      <c r="H21" s="7">
        <f>资产配置!D6</f>
        <v>0.263157894736842</v>
      </c>
      <c r="K21" s="8" t="str">
        <f>IF(债务管理!A6="","",债务管理!A6)</f>
        <v>低息房贷/其他</v>
      </c>
      <c r="L21" s="10">
        <f>IF(K21="","",债务管理!B6)</f>
        <v>0</v>
      </c>
      <c r="M21" s="22">
        <f>IF(K21="","",债务管理!C6)</f>
        <v>0.045</v>
      </c>
      <c r="N21" s="8" t="str">
        <f>IF(K21="","",债务管理!I6)</f>
        <v/>
      </c>
    </row>
    <row r="22" spans="1:14">
      <c r="A22" s="8" t="str">
        <f>TEXT(月度预算!A11,"yyyy-mm")</f>
        <v>2026-06</v>
      </c>
      <c r="B22" s="10" t="str">
        <f>IF(月度预算!D11=0,"",月度预算!D11)</f>
        <v/>
      </c>
      <c r="C22" s="10" t="str">
        <f>IF(月度预算!D11=0,"",月度预算!U11)</f>
        <v/>
      </c>
      <c r="D22" s="7" t="str">
        <f>IF(月度预算!D11=0,"",月度预算!V11)</f>
        <v/>
      </c>
      <c r="F22" s="8" t="str">
        <f>资产配置!A7</f>
        <v>权益基金/股票</v>
      </c>
      <c r="G22" s="10">
        <f>资产配置!B7</f>
        <v>6000</v>
      </c>
      <c r="H22" s="7">
        <f>资产配置!D7</f>
        <v>0.394736842105263</v>
      </c>
    </row>
    <row r="23" spans="1:14">
      <c r="A23" s="8" t="str">
        <f>TEXT(月度预算!A12,"yyyy-mm")</f>
        <v>2026-07</v>
      </c>
      <c r="B23" s="10" t="str">
        <f>IF(月度预算!D12=0,"",月度预算!D12)</f>
        <v/>
      </c>
      <c r="C23" s="10" t="str">
        <f>IF(月度预算!D12=0,"",月度预算!U12)</f>
        <v/>
      </c>
      <c r="D23" s="7" t="str">
        <f>IF(月度预算!D12=0,"",月度预算!V12)</f>
        <v/>
      </c>
      <c r="F23" s="8" t="str">
        <f>资产配置!A8</f>
        <v>黄金/商品</v>
      </c>
      <c r="G23" s="10">
        <f>资产配置!B8</f>
        <v>1000</v>
      </c>
      <c r="H23" s="7">
        <f>资产配置!D8</f>
        <v>0.0657894736842105</v>
      </c>
    </row>
    <row r="24" spans="1:14">
      <c r="A24" s="8" t="str">
        <f>TEXT(月度预算!A13,"yyyy-mm")</f>
        <v>2026-08</v>
      </c>
      <c r="B24" s="10" t="str">
        <f>IF(月度预算!D13=0,"",月度预算!D13)</f>
        <v/>
      </c>
      <c r="C24" s="10" t="str">
        <f>IF(月度预算!D13=0,"",月度预算!U13)</f>
        <v/>
      </c>
      <c r="D24" s="7" t="str">
        <f>IF(月度预算!D13=0,"",月度预算!V13)</f>
        <v/>
      </c>
      <c r="F24" s="8" t="str">
        <f>资产配置!A9</f>
        <v>其他</v>
      </c>
      <c r="G24" s="10">
        <f>资产配置!B9</f>
        <v>0</v>
      </c>
      <c r="H24" s="7">
        <f>资产配置!D9</f>
        <v>0</v>
      </c>
    </row>
    <row r="25" spans="1:14">
      <c r="A25" s="8" t="str">
        <f>TEXT(月度预算!A14,"yyyy-mm")</f>
        <v>2026-09</v>
      </c>
      <c r="B25" s="10" t="str">
        <f>IF(月度预算!D14=0,"",月度预算!D14)</f>
        <v/>
      </c>
      <c r="C25" s="10" t="str">
        <f>IF(月度预算!D14=0,"",月度预算!U14)</f>
        <v/>
      </c>
      <c r="D25" s="7" t="str">
        <f>IF(月度预算!D14=0,"",月度预算!V14)</f>
        <v/>
      </c>
    </row>
    <row r="26" spans="1:14">
      <c r="A26" s="8" t="str">
        <f>TEXT(月度预算!A15,"yyyy-mm")</f>
        <v>2026-10</v>
      </c>
      <c r="B26" s="10" t="str">
        <f>IF(月度预算!D15=0,"",月度预算!D15)</f>
        <v/>
      </c>
      <c r="C26" s="10" t="str">
        <f>IF(月度预算!D15=0,"",月度预算!U15)</f>
        <v/>
      </c>
      <c r="D26" s="7" t="str">
        <f>IF(月度预算!D15=0,"",月度预算!V15)</f>
        <v/>
      </c>
    </row>
    <row r="27" spans="1:14">
      <c r="A27" s="8" t="str">
        <f>TEXT(月度预算!A16,"yyyy-mm")</f>
        <v>2026-11</v>
      </c>
      <c r="B27" s="10" t="str">
        <f>IF(月度预算!D16=0,"",月度预算!D16)</f>
        <v/>
      </c>
      <c r="C27" s="10" t="str">
        <f>IF(月度预算!D16=0,"",月度预算!U16)</f>
        <v/>
      </c>
      <c r="D27" s="7" t="str">
        <f>IF(月度预算!D16=0,"",月度预算!V16)</f>
        <v/>
      </c>
    </row>
    <row r="28" spans="1:14">
      <c r="A28" s="8" t="str">
        <f>TEXT(月度预算!A17,"yyyy-mm")</f>
        <v>2026-12</v>
      </c>
      <c r="B28" s="10" t="str">
        <f>IF(月度预算!D17=0,"",月度预算!D17)</f>
        <v/>
      </c>
      <c r="C28" s="10" t="str">
        <f>IF(月度预算!D17=0,"",月度预算!U17)</f>
        <v/>
      </c>
      <c r="D28" s="7" t="str">
        <f>IF(月度预算!D17=0,"",月度预算!V17)</f>
        <v/>
      </c>
    </row>
  </sheetData>
  <mergeCells count="3">
    <mergeCell ref="A1:N1"/>
    <mergeCell ref="J5:N5"/>
    <mergeCell ref="A8:D8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workbookViewId="0">
      <selection activeCell="A1" sqref="A1:G1"/>
    </sheetView>
  </sheetViews>
  <sheetFormatPr defaultColWidth="9" defaultRowHeight="16.8"/>
  <cols>
    <col min="1" max="1" width="28" customWidth="1"/>
    <col min="2" max="2" width="20" customWidth="1"/>
    <col min="3" max="3" width="4" customWidth="1"/>
    <col min="4" max="4" width="12" customWidth="1"/>
    <col min="5" max="7" width="14" customWidth="1"/>
  </cols>
  <sheetData>
    <row r="1" ht="26" customHeight="1" spans="1:26">
      <c r="A1" s="1" t="s">
        <v>212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>
      <c r="A3" t="s">
        <v>213</v>
      </c>
      <c r="D3" t="s">
        <v>214</v>
      </c>
    </row>
    <row r="4" ht="24" customHeight="1" spans="1:26">
      <c r="A4" s="3" t="s">
        <v>18</v>
      </c>
      <c r="B4" s="3" t="s">
        <v>19</v>
      </c>
      <c r="D4" s="3" t="s">
        <v>111</v>
      </c>
      <c r="E4" s="3" t="s">
        <v>215</v>
      </c>
      <c r="F4" s="3" t="s">
        <v>216</v>
      </c>
      <c r="G4" s="3" t="s">
        <v>217</v>
      </c>
    </row>
    <row r="5" ht="17" spans="1:26">
      <c r="A5" s="17" t="s">
        <v>218</v>
      </c>
      <c r="B5" s="10">
        <f>参数设置!$B$12</f>
        <v>4000</v>
      </c>
      <c r="D5" s="18">
        <f>月度预算!A6</f>
        <v>46023</v>
      </c>
      <c r="E5" s="10">
        <f t="shared" ref="E5:E16" si="0">IF($B$11&lt;=0,0,ROUNDUP($B$11/12,0))</f>
        <v>900</v>
      </c>
      <c r="F5" s="10">
        <f>SUMIFS(流水记录!$I$4:$I$503,流水记录!$B$4:$B$503,D5,流水记录!$E$4:$E$503,"应急金")</f>
        <v>1200</v>
      </c>
      <c r="G5" s="7">
        <f>IFERROR(($B$8+SUM($F$5:F5))/$B$7,0)</f>
        <v>0.1</v>
      </c>
    </row>
    <row r="6" ht="17" spans="1:26">
      <c r="A6" s="17" t="s">
        <v>219</v>
      </c>
      <c r="B6" s="10">
        <f>参数设置!$B$11</f>
        <v>3</v>
      </c>
      <c r="D6" s="18">
        <f>月度预算!A7</f>
        <v>46054</v>
      </c>
      <c r="E6" s="10">
        <f t="shared" si="0"/>
        <v>900</v>
      </c>
      <c r="F6" s="10">
        <f>SUMIFS(流水记录!$I$4:$I$503,流水记录!$B$4:$B$503,D6,流水记录!$E$4:$E$503,"应急金")</f>
        <v>0</v>
      </c>
      <c r="G6" s="7">
        <f>IFERROR(($B$8+SUM($F$5:F6))/$B$7,0)</f>
        <v>0.1</v>
      </c>
    </row>
    <row r="7" ht="17" spans="1:26">
      <c r="A7" s="17" t="s">
        <v>220</v>
      </c>
      <c r="B7" s="10">
        <f>B5*B6</f>
        <v>12000</v>
      </c>
      <c r="D7" s="18">
        <f>月度预算!A8</f>
        <v>46082</v>
      </c>
      <c r="E7" s="10">
        <f t="shared" si="0"/>
        <v>900</v>
      </c>
      <c r="F7" s="10">
        <f>SUMIFS(流水记录!$I$4:$I$503,流水记录!$B$4:$B$503,D7,流水记录!$E$4:$E$503,"应急金")</f>
        <v>0</v>
      </c>
      <c r="G7" s="7">
        <f>IFERROR(($B$8+SUM($F$5:F7))/$B$7,0)</f>
        <v>0.1</v>
      </c>
    </row>
    <row r="8" ht="17" spans="1:26">
      <c r="A8" s="17" t="s">
        <v>221</v>
      </c>
      <c r="B8" s="5">
        <v>0</v>
      </c>
      <c r="D8" s="18">
        <f>月度预算!A9</f>
        <v>46113</v>
      </c>
      <c r="E8" s="10">
        <f t="shared" si="0"/>
        <v>900</v>
      </c>
      <c r="F8" s="10">
        <f>SUMIFS(流水记录!$I$4:$I$503,流水记录!$B$4:$B$503,D8,流水记录!$E$4:$E$503,"应急金")</f>
        <v>0</v>
      </c>
      <c r="G8" s="7">
        <f>IFERROR(($B$8+SUM($F$5:F8))/$B$7,0)</f>
        <v>0.1</v>
      </c>
    </row>
    <row r="9" ht="17" spans="1:26">
      <c r="A9" s="17" t="s">
        <v>222</v>
      </c>
      <c r="B9" s="10">
        <f>SUMIFS(流水记录!$I$4:$I$503,流水记录!$E$4:$E$503,"应急金")</f>
        <v>1200</v>
      </c>
      <c r="D9" s="18">
        <f>月度预算!A10</f>
        <v>46143</v>
      </c>
      <c r="E9" s="10">
        <f t="shared" si="0"/>
        <v>900</v>
      </c>
      <c r="F9" s="10">
        <f>SUMIFS(流水记录!$I$4:$I$503,流水记录!$B$4:$B$503,D9,流水记录!$E$4:$E$503,"应急金")</f>
        <v>0</v>
      </c>
      <c r="G9" s="7">
        <f>IFERROR(($B$8+SUM($F$5:F9))/$B$7,0)</f>
        <v>0.1</v>
      </c>
    </row>
    <row r="10" ht="17" spans="1:26">
      <c r="A10" s="17" t="s">
        <v>223</v>
      </c>
      <c r="B10" s="10">
        <f>B8+B9</f>
        <v>1200</v>
      </c>
      <c r="D10" s="18">
        <f>月度预算!A11</f>
        <v>46174</v>
      </c>
      <c r="E10" s="10">
        <f t="shared" si="0"/>
        <v>900</v>
      </c>
      <c r="F10" s="10">
        <f>SUMIFS(流水记录!$I$4:$I$503,流水记录!$B$4:$B$503,D10,流水记录!$E$4:$E$503,"应急金")</f>
        <v>0</v>
      </c>
      <c r="G10" s="7">
        <f>IFERROR(($B$8+SUM($F$5:F10))/$B$7,0)</f>
        <v>0.1</v>
      </c>
    </row>
    <row r="11" ht="17" spans="1:26">
      <c r="A11" s="17" t="s">
        <v>224</v>
      </c>
      <c r="B11" s="10">
        <f>MAX(B7-B10,0)</f>
        <v>10800</v>
      </c>
      <c r="D11" s="18">
        <f>月度预算!A12</f>
        <v>46204</v>
      </c>
      <c r="E11" s="10">
        <f t="shared" si="0"/>
        <v>900</v>
      </c>
      <c r="F11" s="10">
        <f>SUMIFS(流水记录!$I$4:$I$503,流水记录!$B$4:$B$503,D11,流水记录!$E$4:$E$503,"应急金")</f>
        <v>0</v>
      </c>
      <c r="G11" s="7">
        <f>IFERROR(($B$8+SUM($F$5:F11))/$B$7,0)</f>
        <v>0.1</v>
      </c>
    </row>
    <row r="12" ht="17" spans="1:26">
      <c r="A12" s="17" t="s">
        <v>225</v>
      </c>
      <c r="B12" s="7">
        <f>IFERROR(B10/B7,0)</f>
        <v>0.1</v>
      </c>
      <c r="D12" s="18">
        <f>月度预算!A13</f>
        <v>46235</v>
      </c>
      <c r="E12" s="10">
        <f t="shared" si="0"/>
        <v>900</v>
      </c>
      <c r="F12" s="10">
        <f>SUMIFS(流水记录!$I$4:$I$503,流水记录!$B$4:$B$503,D12,流水记录!$E$4:$E$503,"应急金")</f>
        <v>0</v>
      </c>
      <c r="G12" s="7">
        <f>IFERROR(($B$8+SUM($F$5:F12))/$B$7,0)</f>
        <v>0.1</v>
      </c>
    </row>
    <row r="13" ht="17" spans="1:26">
      <c r="A13" s="17" t="s">
        <v>226</v>
      </c>
      <c r="B13" s="8" t="str">
        <f>IF(B12&gt;=1,"已达成：保持流动性",IF(B10&gt;=B5,"继续补足到目标月数","先补足1个月生活费"))</f>
        <v>先补足1个月生活费</v>
      </c>
      <c r="D13" s="18">
        <f>月度预算!A14</f>
        <v>46266</v>
      </c>
      <c r="E13" s="10">
        <f t="shared" si="0"/>
        <v>900</v>
      </c>
      <c r="F13" s="10">
        <f>SUMIFS(流水记录!$I$4:$I$503,流水记录!$B$4:$B$503,D13,流水记录!$E$4:$E$503,"应急金")</f>
        <v>0</v>
      </c>
      <c r="G13" s="7">
        <f>IFERROR(($B$8+SUM($F$5:F13))/$B$7,0)</f>
        <v>0.1</v>
      </c>
    </row>
    <row r="14" spans="1:26">
      <c r="D14" s="18">
        <f>月度预算!A15</f>
        <v>46296</v>
      </c>
      <c r="E14" s="10">
        <f t="shared" si="0"/>
        <v>900</v>
      </c>
      <c r="F14" s="10">
        <f>SUMIFS(流水记录!$I$4:$I$503,流水记录!$B$4:$B$503,D14,流水记录!$E$4:$E$503,"应急金")</f>
        <v>0</v>
      </c>
      <c r="G14" s="7">
        <f>IFERROR(($B$8+SUM($F$5:F14))/$B$7,0)</f>
        <v>0.1</v>
      </c>
    </row>
    <row r="15" spans="1:26">
      <c r="D15" s="18">
        <f>月度预算!A16</f>
        <v>46327</v>
      </c>
      <c r="E15" s="10">
        <f t="shared" si="0"/>
        <v>900</v>
      </c>
      <c r="F15" s="10">
        <f>SUMIFS(流水记录!$I$4:$I$503,流水记录!$B$4:$B$503,D15,流水记录!$E$4:$E$503,"应急金")</f>
        <v>0</v>
      </c>
      <c r="G15" s="7">
        <f>IFERROR(($B$8+SUM($F$5:F15))/$B$7,0)</f>
        <v>0.1</v>
      </c>
    </row>
    <row r="16" spans="1:26">
      <c r="D16" s="18">
        <f>月度预算!A17</f>
        <v>46357</v>
      </c>
      <c r="E16" s="10">
        <f t="shared" si="0"/>
        <v>900</v>
      </c>
      <c r="F16" s="10">
        <f>SUMIFS(流水记录!$I$4:$I$503,流水记录!$B$4:$B$503,D16,流水记录!$E$4:$E$503,"应急金")</f>
        <v>0</v>
      </c>
      <c r="G16" s="7">
        <f>IFERROR(($B$8+SUM($F$5:F16))/$B$7,0)</f>
        <v>0.1</v>
      </c>
    </row>
  </sheetData>
  <mergeCells count="1">
    <mergeCell ref="A1:G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"/>
  <sheetViews>
    <sheetView workbookViewId="0">
      <selection activeCell="I5" sqref="I5"/>
    </sheetView>
  </sheetViews>
  <sheetFormatPr defaultColWidth="9" defaultRowHeight="16.8"/>
  <cols>
    <col min="1" max="1" width="18" customWidth="1"/>
    <col min="2" max="2" width="14" customWidth="1"/>
    <col min="3" max="3" width="12" customWidth="1"/>
    <col min="4" max="6" width="14" customWidth="1"/>
    <col min="7" max="7" width="10" customWidth="1"/>
    <col min="8" max="8" width="14" customWidth="1"/>
    <col min="9" max="9" width="16" customWidth="1"/>
  </cols>
  <sheetData>
    <row r="1" ht="26" customHeight="1" spans="1:26">
      <c r="A1" s="1" t="s">
        <v>227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ht="24" customHeight="1" spans="1:26">
      <c r="A3" s="3" t="s">
        <v>228</v>
      </c>
      <c r="B3" s="3" t="s">
        <v>229</v>
      </c>
      <c r="C3" s="3" t="s">
        <v>211</v>
      </c>
      <c r="D3" s="3" t="s">
        <v>230</v>
      </c>
      <c r="E3" s="3" t="s">
        <v>231</v>
      </c>
      <c r="F3" s="3" t="s">
        <v>232</v>
      </c>
      <c r="G3" s="3" t="s">
        <v>233</v>
      </c>
      <c r="H3" s="3" t="s">
        <v>234</v>
      </c>
      <c r="I3" s="3" t="s">
        <v>102</v>
      </c>
    </row>
    <row r="4" spans="1:26">
      <c r="A4" t="s">
        <v>235</v>
      </c>
      <c r="B4" s="11">
        <v>0</v>
      </c>
      <c r="C4" s="16">
        <v>0</v>
      </c>
      <c r="D4" s="11">
        <v>0</v>
      </c>
      <c r="E4" s="5">
        <v>0</v>
      </c>
      <c r="F4" s="10">
        <v>0</v>
      </c>
      <c r="G4" s="8" t="str">
        <f t="shared" ref="G4:G21" si="0">IF(B4&gt;0,RANK(C4,$C$4:$C$21,0),"")</f>
        <v/>
      </c>
      <c r="H4" s="8" t="str">
        <f t="shared" ref="H4:H21" si="1">IF(B4&lt;=0,"",IF(F4&lt;=B4*C4/12,"还款不足",ROUNDUP(NPER(C4/12,-F4,B4),0)))</f>
        <v/>
      </c>
      <c r="I4" s="8" t="str">
        <f t="shared" ref="I4:I21" si="2">IF(B4&lt;=0,"",IF(G4=1,"优先偿还","维持最低还款"))</f>
        <v/>
      </c>
    </row>
    <row r="5" spans="1:26">
      <c r="A5" t="s">
        <v>236</v>
      </c>
      <c r="B5" s="11">
        <v>0</v>
      </c>
      <c r="C5" s="16">
        <v>0</v>
      </c>
      <c r="D5" s="11">
        <v>0</v>
      </c>
      <c r="E5" s="5">
        <v>0</v>
      </c>
      <c r="F5" s="10">
        <v>0</v>
      </c>
      <c r="G5" s="8"/>
      <c r="H5" s="8"/>
      <c r="I5" s="8" t="str">
        <f t="shared" si="2"/>
        <v/>
      </c>
    </row>
    <row r="6" spans="1:26">
      <c r="A6" t="s">
        <v>237</v>
      </c>
      <c r="B6" s="11">
        <v>0</v>
      </c>
      <c r="C6" s="16">
        <v>0.045</v>
      </c>
      <c r="D6" s="11">
        <v>0</v>
      </c>
      <c r="E6" s="5">
        <v>0</v>
      </c>
      <c r="F6" s="10">
        <f t="shared" ref="F4:F21" si="3">D6+E6</f>
        <v>0</v>
      </c>
      <c r="G6" s="8" t="str">
        <f t="shared" si="0"/>
        <v/>
      </c>
      <c r="H6" s="8" t="str">
        <f t="shared" si="1"/>
        <v/>
      </c>
      <c r="I6" s="8" t="str">
        <f t="shared" si="2"/>
        <v/>
      </c>
    </row>
    <row r="7" spans="1:26">
      <c r="A7" t="s">
        <v>104</v>
      </c>
      <c r="B7" s="11">
        <v>0</v>
      </c>
      <c r="C7" s="16">
        <v>0</v>
      </c>
      <c r="D7" s="11">
        <v>0</v>
      </c>
      <c r="E7" s="5">
        <v>0</v>
      </c>
      <c r="F7" s="10">
        <f t="shared" si="3"/>
        <v>0</v>
      </c>
      <c r="G7" s="8" t="str">
        <f t="shared" si="0"/>
        <v/>
      </c>
      <c r="H7" s="8" t="str">
        <f t="shared" si="1"/>
        <v/>
      </c>
      <c r="I7" s="8" t="str">
        <f t="shared" si="2"/>
        <v/>
      </c>
    </row>
    <row r="8" spans="1:26">
      <c r="A8" t="s">
        <v>104</v>
      </c>
      <c r="B8" s="11">
        <v>0</v>
      </c>
      <c r="C8" s="16">
        <v>0</v>
      </c>
      <c r="D8" s="11">
        <v>0</v>
      </c>
      <c r="E8" s="5">
        <v>0</v>
      </c>
      <c r="F8" s="10">
        <f t="shared" si="3"/>
        <v>0</v>
      </c>
      <c r="G8" s="8" t="str">
        <f t="shared" si="0"/>
        <v/>
      </c>
      <c r="H8" s="8" t="str">
        <f t="shared" si="1"/>
        <v/>
      </c>
      <c r="I8" s="8" t="str">
        <f t="shared" si="2"/>
        <v/>
      </c>
    </row>
    <row r="9" spans="1:26">
      <c r="A9" t="s">
        <v>104</v>
      </c>
      <c r="B9" s="11">
        <v>0</v>
      </c>
      <c r="C9" s="16">
        <v>0</v>
      </c>
      <c r="D9" s="11">
        <v>0</v>
      </c>
      <c r="E9" s="5">
        <v>0</v>
      </c>
      <c r="F9" s="10">
        <f t="shared" si="3"/>
        <v>0</v>
      </c>
      <c r="G9" s="8" t="str">
        <f t="shared" si="0"/>
        <v/>
      </c>
      <c r="H9" s="8" t="str">
        <f t="shared" si="1"/>
        <v/>
      </c>
      <c r="I9" s="8" t="str">
        <f t="shared" si="2"/>
        <v/>
      </c>
    </row>
    <row r="10" spans="1:26">
      <c r="A10" t="s">
        <v>104</v>
      </c>
      <c r="B10" s="11">
        <v>0</v>
      </c>
      <c r="C10" s="16">
        <v>0</v>
      </c>
      <c r="D10" s="11">
        <v>0</v>
      </c>
      <c r="E10" s="5">
        <v>0</v>
      </c>
      <c r="F10" s="10">
        <f t="shared" si="3"/>
        <v>0</v>
      </c>
      <c r="G10" s="8" t="str">
        <f t="shared" si="0"/>
        <v/>
      </c>
      <c r="H10" s="8" t="str">
        <f t="shared" si="1"/>
        <v/>
      </c>
      <c r="I10" s="8" t="str">
        <f t="shared" si="2"/>
        <v/>
      </c>
    </row>
    <row r="11" spans="1:26">
      <c r="A11" t="s">
        <v>104</v>
      </c>
      <c r="B11" s="11">
        <v>0</v>
      </c>
      <c r="C11" s="16">
        <v>0</v>
      </c>
      <c r="D11" s="11">
        <v>0</v>
      </c>
      <c r="E11" s="5">
        <v>0</v>
      </c>
      <c r="F11" s="10">
        <f t="shared" si="3"/>
        <v>0</v>
      </c>
      <c r="G11" s="8" t="str">
        <f t="shared" si="0"/>
        <v/>
      </c>
      <c r="H11" s="8" t="str">
        <f t="shared" si="1"/>
        <v/>
      </c>
      <c r="I11" s="8" t="str">
        <f t="shared" si="2"/>
        <v/>
      </c>
    </row>
    <row r="12" spans="1:26">
      <c r="A12" t="s">
        <v>104</v>
      </c>
      <c r="B12" s="11">
        <v>0</v>
      </c>
      <c r="C12" s="16">
        <v>0</v>
      </c>
      <c r="D12" s="11">
        <v>0</v>
      </c>
      <c r="E12" s="5">
        <v>0</v>
      </c>
      <c r="F12" s="10">
        <f t="shared" si="3"/>
        <v>0</v>
      </c>
      <c r="G12" s="8" t="str">
        <f t="shared" si="0"/>
        <v/>
      </c>
      <c r="H12" s="8" t="str">
        <f t="shared" si="1"/>
        <v/>
      </c>
      <c r="I12" s="8" t="str">
        <f t="shared" si="2"/>
        <v/>
      </c>
    </row>
    <row r="13" spans="1:26">
      <c r="A13" t="s">
        <v>104</v>
      </c>
      <c r="B13" s="11">
        <v>0</v>
      </c>
      <c r="C13" s="16">
        <v>0</v>
      </c>
      <c r="D13" s="11">
        <v>0</v>
      </c>
      <c r="E13" s="5">
        <v>0</v>
      </c>
      <c r="F13" s="10">
        <f t="shared" si="3"/>
        <v>0</v>
      </c>
      <c r="G13" s="8" t="str">
        <f t="shared" si="0"/>
        <v/>
      </c>
      <c r="H13" s="8" t="str">
        <f t="shared" si="1"/>
        <v/>
      </c>
      <c r="I13" s="8" t="str">
        <f t="shared" si="2"/>
        <v/>
      </c>
    </row>
    <row r="14" spans="1:26">
      <c r="A14" t="s">
        <v>104</v>
      </c>
      <c r="B14" s="11">
        <v>0</v>
      </c>
      <c r="C14" s="16">
        <v>0</v>
      </c>
      <c r="D14" s="11">
        <v>0</v>
      </c>
      <c r="E14" s="5">
        <v>0</v>
      </c>
      <c r="F14" s="10">
        <f t="shared" si="3"/>
        <v>0</v>
      </c>
      <c r="G14" s="8" t="str">
        <f t="shared" si="0"/>
        <v/>
      </c>
      <c r="H14" s="8" t="str">
        <f t="shared" si="1"/>
        <v/>
      </c>
      <c r="I14" s="8" t="str">
        <f t="shared" si="2"/>
        <v/>
      </c>
    </row>
    <row r="15" spans="1:26">
      <c r="A15" t="s">
        <v>104</v>
      </c>
      <c r="B15" s="11">
        <v>0</v>
      </c>
      <c r="C15" s="16">
        <v>0</v>
      </c>
      <c r="D15" s="11">
        <v>0</v>
      </c>
      <c r="E15" s="5">
        <v>0</v>
      </c>
      <c r="F15" s="10">
        <f t="shared" si="3"/>
        <v>0</v>
      </c>
      <c r="G15" s="8" t="str">
        <f t="shared" si="0"/>
        <v/>
      </c>
      <c r="H15" s="8" t="str">
        <f t="shared" si="1"/>
        <v/>
      </c>
      <c r="I15" s="8" t="str">
        <f t="shared" si="2"/>
        <v/>
      </c>
    </row>
    <row r="16" spans="1:26">
      <c r="A16" t="s">
        <v>104</v>
      </c>
      <c r="B16" s="11">
        <v>0</v>
      </c>
      <c r="C16" s="16">
        <v>0</v>
      </c>
      <c r="D16" s="11">
        <v>0</v>
      </c>
      <c r="E16" s="5">
        <v>0</v>
      </c>
      <c r="F16" s="10">
        <f t="shared" si="3"/>
        <v>0</v>
      </c>
      <c r="G16" s="8" t="str">
        <f t="shared" si="0"/>
        <v/>
      </c>
      <c r="H16" s="8" t="str">
        <f t="shared" si="1"/>
        <v/>
      </c>
      <c r="I16" s="8" t="str">
        <f t="shared" si="2"/>
        <v/>
      </c>
    </row>
    <row r="17" spans="1:9">
      <c r="A17" t="s">
        <v>104</v>
      </c>
      <c r="B17" s="11">
        <v>0</v>
      </c>
      <c r="C17" s="16">
        <v>0</v>
      </c>
      <c r="D17" s="11">
        <v>0</v>
      </c>
      <c r="E17" s="5">
        <v>0</v>
      </c>
      <c r="F17" s="10">
        <f t="shared" si="3"/>
        <v>0</v>
      </c>
      <c r="G17" s="8" t="str">
        <f t="shared" si="0"/>
        <v/>
      </c>
      <c r="H17" s="8" t="str">
        <f t="shared" si="1"/>
        <v/>
      </c>
      <c r="I17" s="8" t="str">
        <f t="shared" si="2"/>
        <v/>
      </c>
    </row>
    <row r="18" spans="1:9">
      <c r="A18" t="s">
        <v>104</v>
      </c>
      <c r="B18" s="11">
        <v>0</v>
      </c>
      <c r="C18" s="16">
        <v>0</v>
      </c>
      <c r="D18" s="11">
        <v>0</v>
      </c>
      <c r="E18" s="5">
        <v>0</v>
      </c>
      <c r="F18" s="10">
        <f t="shared" si="3"/>
        <v>0</v>
      </c>
      <c r="G18" s="8" t="str">
        <f t="shared" si="0"/>
        <v/>
      </c>
      <c r="H18" s="8" t="str">
        <f t="shared" si="1"/>
        <v/>
      </c>
      <c r="I18" s="8" t="str">
        <f t="shared" si="2"/>
        <v/>
      </c>
    </row>
    <row r="19" spans="1:9">
      <c r="A19" t="s">
        <v>104</v>
      </c>
      <c r="B19" s="11">
        <v>0</v>
      </c>
      <c r="C19" s="16">
        <v>0</v>
      </c>
      <c r="D19" s="11">
        <v>0</v>
      </c>
      <c r="E19" s="5">
        <v>0</v>
      </c>
      <c r="F19" s="10">
        <f t="shared" si="3"/>
        <v>0</v>
      </c>
      <c r="G19" s="8" t="str">
        <f t="shared" si="0"/>
        <v/>
      </c>
      <c r="H19" s="8" t="str">
        <f t="shared" si="1"/>
        <v/>
      </c>
      <c r="I19" s="8" t="str">
        <f t="shared" si="2"/>
        <v/>
      </c>
    </row>
    <row r="20" spans="1:9">
      <c r="A20" t="s">
        <v>104</v>
      </c>
      <c r="B20" s="11">
        <v>0</v>
      </c>
      <c r="C20" s="16">
        <v>0</v>
      </c>
      <c r="D20" s="11">
        <v>0</v>
      </c>
      <c r="E20" s="5">
        <v>0</v>
      </c>
      <c r="F20" s="10">
        <f t="shared" si="3"/>
        <v>0</v>
      </c>
      <c r="G20" s="8" t="str">
        <f t="shared" si="0"/>
        <v/>
      </c>
      <c r="H20" s="8" t="str">
        <f t="shared" si="1"/>
        <v/>
      </c>
      <c r="I20" s="8" t="str">
        <f t="shared" si="2"/>
        <v/>
      </c>
    </row>
    <row r="21" spans="1:9">
      <c r="A21" t="s">
        <v>104</v>
      </c>
      <c r="B21" s="11">
        <v>0</v>
      </c>
      <c r="C21" s="16">
        <v>0</v>
      </c>
      <c r="D21" s="11">
        <v>0</v>
      </c>
      <c r="E21" s="5">
        <v>0</v>
      </c>
      <c r="F21" s="10">
        <f t="shared" si="3"/>
        <v>0</v>
      </c>
      <c r="G21" s="8" t="str">
        <f t="shared" si="0"/>
        <v/>
      </c>
      <c r="H21" s="8" t="str">
        <f t="shared" si="1"/>
        <v/>
      </c>
      <c r="I21" s="8" t="str">
        <f t="shared" si="2"/>
        <v/>
      </c>
    </row>
    <row r="23" ht="24" customHeight="1" spans="1:9">
      <c r="A23" s="3" t="s">
        <v>238</v>
      </c>
      <c r="B23" s="3"/>
      <c r="C23" s="3"/>
      <c r="D23" s="3"/>
      <c r="E23" s="3"/>
      <c r="F23" s="3"/>
      <c r="G23" s="3"/>
      <c r="H23" s="3"/>
      <c r="I23" s="3"/>
    </row>
    <row r="24" spans="1:9">
      <c r="A24" t="s">
        <v>239</v>
      </c>
      <c r="B24" s="11">
        <f>SUM(B4:B21)</f>
        <v>0</v>
      </c>
      <c r="C24" s="11" t="s">
        <v>240</v>
      </c>
      <c r="D24" s="11">
        <f>SUM(F4:F21)</f>
        <v>0</v>
      </c>
      <c r="E24" t="s">
        <v>241</v>
      </c>
      <c r="F24" t="s">
        <v>242</v>
      </c>
    </row>
  </sheetData>
  <mergeCells count="1">
    <mergeCell ref="A1:I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workbookViewId="0">
      <selection activeCell="A1" sqref="A1:G1"/>
    </sheetView>
  </sheetViews>
  <sheetFormatPr defaultColWidth="9" defaultRowHeight="16.8"/>
  <cols>
    <col min="1" max="1" width="18" customWidth="1"/>
    <col min="2" max="2" width="14" customWidth="1"/>
    <col min="3" max="5" width="12" customWidth="1"/>
    <col min="6" max="6" width="16" customWidth="1"/>
    <col min="7" max="7" width="22" customWidth="1"/>
  </cols>
  <sheetData>
    <row r="1" ht="26" customHeight="1" spans="1:26">
      <c r="A1" s="1" t="s">
        <v>243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ht="24" customHeight="1" spans="1:26">
      <c r="A3" s="3" t="s">
        <v>206</v>
      </c>
      <c r="B3" s="3" t="s">
        <v>207</v>
      </c>
      <c r="C3" s="3" t="s">
        <v>244</v>
      </c>
      <c r="D3" s="3" t="s">
        <v>208</v>
      </c>
      <c r="E3" s="3" t="s">
        <v>245</v>
      </c>
      <c r="F3" s="3" t="s">
        <v>246</v>
      </c>
      <c r="G3" s="3" t="s">
        <v>115</v>
      </c>
    </row>
    <row r="4" spans="1:26">
      <c r="A4" t="s">
        <v>247</v>
      </c>
      <c r="B4" s="5">
        <v>3000</v>
      </c>
      <c r="C4" s="9">
        <v>0.15</v>
      </c>
      <c r="D4" s="7">
        <f t="shared" ref="D4:D9" si="0">IFERROR(B4/$B$11,0)</f>
        <v>0.197368421052632</v>
      </c>
      <c r="E4" s="7">
        <f t="shared" ref="E4:E9" si="1">D4-C4</f>
        <v>0.0473684210526316</v>
      </c>
      <c r="F4" s="10">
        <f t="shared" ref="F4:F9" si="2">$B$11*C4-B4</f>
        <v>-720</v>
      </c>
      <c r="G4" t="s">
        <v>248</v>
      </c>
    </row>
    <row r="5" spans="1:26">
      <c r="A5" t="s">
        <v>86</v>
      </c>
      <c r="B5" s="5">
        <v>1200</v>
      </c>
      <c r="C5" s="9">
        <v>0.2</v>
      </c>
      <c r="D5" s="7">
        <f t="shared" si="0"/>
        <v>0.0789473684210526</v>
      </c>
      <c r="E5" s="7">
        <f t="shared" si="1"/>
        <v>-0.121052631578947</v>
      </c>
      <c r="F5" s="10">
        <f t="shared" si="2"/>
        <v>1840</v>
      </c>
      <c r="G5" t="s">
        <v>249</v>
      </c>
    </row>
    <row r="6" spans="1:26">
      <c r="A6" t="s">
        <v>97</v>
      </c>
      <c r="B6" s="5">
        <v>4000</v>
      </c>
      <c r="C6" s="9">
        <v>0.25</v>
      </c>
      <c r="D6" s="7">
        <f t="shared" si="0"/>
        <v>0.263157894736842</v>
      </c>
      <c r="E6" s="7">
        <f t="shared" si="1"/>
        <v>0.0131578947368421</v>
      </c>
      <c r="F6" s="10">
        <f t="shared" si="2"/>
        <v>-200</v>
      </c>
      <c r="G6" t="s">
        <v>250</v>
      </c>
    </row>
    <row r="7" spans="1:26">
      <c r="A7" t="s">
        <v>251</v>
      </c>
      <c r="B7" s="5">
        <v>6000</v>
      </c>
      <c r="C7" s="9">
        <v>0.35</v>
      </c>
      <c r="D7" s="7">
        <f t="shared" si="0"/>
        <v>0.394736842105263</v>
      </c>
      <c r="E7" s="7">
        <f t="shared" si="1"/>
        <v>0.0447368421052632</v>
      </c>
      <c r="F7" s="10">
        <f t="shared" si="2"/>
        <v>-680</v>
      </c>
      <c r="G7" t="s">
        <v>252</v>
      </c>
    </row>
    <row r="8" spans="1:26">
      <c r="A8" t="s">
        <v>253</v>
      </c>
      <c r="B8" s="5">
        <v>1000</v>
      </c>
      <c r="C8" s="9">
        <v>0.05</v>
      </c>
      <c r="D8" s="7">
        <f t="shared" si="0"/>
        <v>0.0657894736842105</v>
      </c>
      <c r="E8" s="7">
        <f t="shared" si="1"/>
        <v>0.0157894736842105</v>
      </c>
      <c r="F8" s="10">
        <f t="shared" si="2"/>
        <v>-240</v>
      </c>
      <c r="G8" t="s">
        <v>254</v>
      </c>
    </row>
    <row r="9" spans="1:26">
      <c r="A9" t="s">
        <v>70</v>
      </c>
      <c r="B9" s="5">
        <v>0</v>
      </c>
      <c r="C9" s="9">
        <v>0</v>
      </c>
      <c r="D9" s="7">
        <f t="shared" si="0"/>
        <v>0</v>
      </c>
      <c r="E9" s="7">
        <f t="shared" si="1"/>
        <v>0</v>
      </c>
      <c r="F9" s="10">
        <f t="shared" si="2"/>
        <v>0</v>
      </c>
      <c r="G9" t="s">
        <v>104</v>
      </c>
    </row>
    <row r="10" spans="1:26">
      <c r="B10" s="11"/>
      <c r="C10" s="12"/>
      <c r="D10" s="12"/>
      <c r="E10" s="12"/>
    </row>
    <row r="11" spans="1:26">
      <c r="A11" s="13" t="s">
        <v>255</v>
      </c>
      <c r="B11" s="14">
        <f>SUM(B4:B9)</f>
        <v>15200</v>
      </c>
      <c r="C11" s="15">
        <f>SUM(C4:C9)</f>
        <v>1</v>
      </c>
      <c r="D11" s="15">
        <f>SUM(D4:D9)</f>
        <v>1</v>
      </c>
      <c r="E11" s="15"/>
      <c r="F11" s="13"/>
      <c r="G11" s="13"/>
    </row>
  </sheetData>
  <mergeCells count="1">
    <mergeCell ref="A1:G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workbookViewId="0">
      <selection activeCell="A1" sqref="A1:I1"/>
    </sheetView>
  </sheetViews>
  <sheetFormatPr defaultColWidth="9" defaultRowHeight="16.8"/>
  <cols>
    <col min="1" max="1" width="22" customWidth="1"/>
    <col min="2" max="6" width="14" customWidth="1"/>
    <col min="7" max="7" width="12" customWidth="1"/>
    <col min="8" max="8" width="14" customWidth="1"/>
    <col min="9" max="9" width="12" customWidth="1"/>
  </cols>
  <sheetData>
    <row r="1" ht="26" customHeight="1" spans="1:26">
      <c r="A1" s="1" t="s">
        <v>256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ht="24" customHeight="1" spans="1:26">
      <c r="A3" s="3" t="s">
        <v>257</v>
      </c>
      <c r="B3" s="3" t="s">
        <v>258</v>
      </c>
      <c r="C3" s="3" t="s">
        <v>220</v>
      </c>
      <c r="D3" s="3" t="s">
        <v>207</v>
      </c>
      <c r="E3" s="3" t="s">
        <v>259</v>
      </c>
      <c r="F3" s="3" t="s">
        <v>260</v>
      </c>
      <c r="G3" s="3" t="s">
        <v>261</v>
      </c>
      <c r="H3" s="3" t="s">
        <v>262</v>
      </c>
      <c r="I3" s="3" t="s">
        <v>23</v>
      </c>
    </row>
    <row r="4" spans="1:26">
      <c r="A4" s="4" t="s">
        <v>263</v>
      </c>
      <c r="B4" s="4" t="s">
        <v>133</v>
      </c>
      <c r="C4" s="5">
        <f>应急金!$B$7</f>
        <v>12000</v>
      </c>
      <c r="D4" s="5">
        <f>应急金!$B$10</f>
        <v>1200</v>
      </c>
      <c r="E4" s="5">
        <v>1200</v>
      </c>
      <c r="F4" s="6">
        <v>46387</v>
      </c>
      <c r="G4" s="7">
        <f t="shared" ref="G4:G21" si="0">IFERROR(D4/C4,0)</f>
        <v>0.1</v>
      </c>
      <c r="H4" s="8">
        <f t="shared" ref="H4:H21" si="1">IF(OR(C4&lt;=D4,E4&lt;=0),0,ROUNDUP((C4-D4)/E4,0))</f>
        <v>9</v>
      </c>
      <c r="I4" s="8" t="str">
        <f ca="1" t="shared" ref="I4:I21" si="2">IF(C4&lt;=0,"",IF(G4&gt;=1,"已完成",IF(F4&lt;TODAY(),"已逾期","进行中")))</f>
        <v>进行中</v>
      </c>
    </row>
    <row r="5" spans="1:26">
      <c r="A5" s="4" t="s">
        <v>264</v>
      </c>
      <c r="B5" s="4" t="s">
        <v>60</v>
      </c>
      <c r="C5" s="5">
        <v>6000</v>
      </c>
      <c r="D5" s="5">
        <v>400</v>
      </c>
      <c r="E5" s="5">
        <v>500</v>
      </c>
      <c r="F5" s="6">
        <v>46387</v>
      </c>
      <c r="G5" s="7">
        <f t="shared" si="0"/>
        <v>0.0666666666666667</v>
      </c>
      <c r="H5" s="8">
        <f t="shared" si="1"/>
        <v>12</v>
      </c>
      <c r="I5" s="8" t="str">
        <f ca="1" t="shared" si="2"/>
        <v>进行中</v>
      </c>
    </row>
    <row r="6" spans="1:26">
      <c r="A6" s="4" t="s">
        <v>265</v>
      </c>
      <c r="B6" s="4" t="s">
        <v>266</v>
      </c>
      <c r="C6" s="5">
        <v>30000</v>
      </c>
      <c r="D6" s="5">
        <v>6000</v>
      </c>
      <c r="E6" s="5">
        <v>1500</v>
      </c>
      <c r="F6" s="6">
        <v>46752</v>
      </c>
      <c r="G6" s="7">
        <f t="shared" si="0"/>
        <v>0.2</v>
      </c>
      <c r="H6" s="8">
        <f t="shared" si="1"/>
        <v>16</v>
      </c>
      <c r="I6" s="8" t="str">
        <f ca="1" t="shared" si="2"/>
        <v>进行中</v>
      </c>
    </row>
    <row r="7" spans="1:26">
      <c r="A7" s="4" t="s">
        <v>104</v>
      </c>
      <c r="B7" s="4" t="s">
        <v>104</v>
      </c>
      <c r="C7" s="5">
        <v>0</v>
      </c>
      <c r="D7" s="5">
        <v>0</v>
      </c>
      <c r="E7" s="5">
        <v>0</v>
      </c>
      <c r="F7" s="6"/>
      <c r="G7" s="7">
        <f t="shared" si="0"/>
        <v>0</v>
      </c>
      <c r="H7" s="8">
        <f t="shared" si="1"/>
        <v>0</v>
      </c>
      <c r="I7" s="8" t="str">
        <f ca="1" t="shared" si="2"/>
        <v/>
      </c>
    </row>
    <row r="8" spans="1:26">
      <c r="A8" s="4" t="s">
        <v>104</v>
      </c>
      <c r="B8" s="4" t="s">
        <v>104</v>
      </c>
      <c r="C8" s="5">
        <v>0</v>
      </c>
      <c r="D8" s="5">
        <v>0</v>
      </c>
      <c r="E8" s="5">
        <v>0</v>
      </c>
      <c r="F8" s="6"/>
      <c r="G8" s="7">
        <f t="shared" si="0"/>
        <v>0</v>
      </c>
      <c r="H8" s="8">
        <f t="shared" si="1"/>
        <v>0</v>
      </c>
      <c r="I8" s="8" t="str">
        <f ca="1" t="shared" si="2"/>
        <v/>
      </c>
    </row>
    <row r="9" spans="1:26">
      <c r="A9" s="4" t="s">
        <v>104</v>
      </c>
      <c r="B9" s="4" t="s">
        <v>104</v>
      </c>
      <c r="C9" s="5">
        <v>0</v>
      </c>
      <c r="D9" s="5">
        <v>0</v>
      </c>
      <c r="E9" s="5">
        <v>0</v>
      </c>
      <c r="F9" s="6"/>
      <c r="G9" s="7">
        <f t="shared" si="0"/>
        <v>0</v>
      </c>
      <c r="H9" s="8">
        <f t="shared" si="1"/>
        <v>0</v>
      </c>
      <c r="I9" s="8" t="str">
        <f ca="1" t="shared" si="2"/>
        <v/>
      </c>
    </row>
    <row r="10" spans="1:26">
      <c r="A10" s="4" t="s">
        <v>104</v>
      </c>
      <c r="B10" s="4" t="s">
        <v>104</v>
      </c>
      <c r="C10" s="5">
        <v>0</v>
      </c>
      <c r="D10" s="5">
        <v>0</v>
      </c>
      <c r="E10" s="5">
        <v>0</v>
      </c>
      <c r="F10" s="6"/>
      <c r="G10" s="7">
        <f t="shared" si="0"/>
        <v>0</v>
      </c>
      <c r="H10" s="8">
        <f t="shared" si="1"/>
        <v>0</v>
      </c>
      <c r="I10" s="8" t="str">
        <f ca="1" t="shared" si="2"/>
        <v/>
      </c>
    </row>
    <row r="11" spans="1:26">
      <c r="A11" s="4" t="s">
        <v>104</v>
      </c>
      <c r="B11" s="4" t="s">
        <v>104</v>
      </c>
      <c r="C11" s="5">
        <v>0</v>
      </c>
      <c r="D11" s="5">
        <v>0</v>
      </c>
      <c r="E11" s="5">
        <v>0</v>
      </c>
      <c r="F11" s="6"/>
      <c r="G11" s="7">
        <f t="shared" si="0"/>
        <v>0</v>
      </c>
      <c r="H11" s="8">
        <f t="shared" si="1"/>
        <v>0</v>
      </c>
      <c r="I11" s="8" t="str">
        <f ca="1" t="shared" si="2"/>
        <v/>
      </c>
    </row>
    <row r="12" spans="1:26">
      <c r="A12" s="4" t="s">
        <v>104</v>
      </c>
      <c r="B12" s="4" t="s">
        <v>104</v>
      </c>
      <c r="C12" s="5">
        <v>0</v>
      </c>
      <c r="D12" s="5">
        <v>0</v>
      </c>
      <c r="E12" s="5">
        <v>0</v>
      </c>
      <c r="F12" s="6"/>
      <c r="G12" s="7">
        <f t="shared" si="0"/>
        <v>0</v>
      </c>
      <c r="H12" s="8">
        <f t="shared" si="1"/>
        <v>0</v>
      </c>
      <c r="I12" s="8" t="str">
        <f ca="1" t="shared" si="2"/>
        <v/>
      </c>
    </row>
    <row r="13" spans="1:26">
      <c r="A13" s="4" t="s">
        <v>104</v>
      </c>
      <c r="B13" s="4" t="s">
        <v>104</v>
      </c>
      <c r="C13" s="5">
        <v>0</v>
      </c>
      <c r="D13" s="5">
        <v>0</v>
      </c>
      <c r="E13" s="5">
        <v>0</v>
      </c>
      <c r="F13" s="6"/>
      <c r="G13" s="7">
        <f t="shared" si="0"/>
        <v>0</v>
      </c>
      <c r="H13" s="8">
        <f t="shared" si="1"/>
        <v>0</v>
      </c>
      <c r="I13" s="8" t="str">
        <f ca="1" t="shared" si="2"/>
        <v/>
      </c>
    </row>
    <row r="14" spans="1:26">
      <c r="A14" s="4" t="s">
        <v>104</v>
      </c>
      <c r="B14" s="4" t="s">
        <v>104</v>
      </c>
      <c r="C14" s="5">
        <v>0</v>
      </c>
      <c r="D14" s="5">
        <v>0</v>
      </c>
      <c r="E14" s="5">
        <v>0</v>
      </c>
      <c r="F14" s="6"/>
      <c r="G14" s="7">
        <f t="shared" si="0"/>
        <v>0</v>
      </c>
      <c r="H14" s="8">
        <f t="shared" si="1"/>
        <v>0</v>
      </c>
      <c r="I14" s="8" t="str">
        <f ca="1" t="shared" si="2"/>
        <v/>
      </c>
    </row>
    <row r="15" spans="1:26">
      <c r="A15" s="4" t="s">
        <v>104</v>
      </c>
      <c r="B15" s="4" t="s">
        <v>104</v>
      </c>
      <c r="C15" s="5">
        <v>0</v>
      </c>
      <c r="D15" s="5">
        <v>0</v>
      </c>
      <c r="E15" s="5">
        <v>0</v>
      </c>
      <c r="F15" s="6"/>
      <c r="G15" s="7">
        <f t="shared" si="0"/>
        <v>0</v>
      </c>
      <c r="H15" s="8">
        <f t="shared" si="1"/>
        <v>0</v>
      </c>
      <c r="I15" s="8" t="str">
        <f ca="1" t="shared" si="2"/>
        <v/>
      </c>
    </row>
    <row r="16" spans="1:26">
      <c r="A16" s="4" t="s">
        <v>104</v>
      </c>
      <c r="B16" s="4" t="s">
        <v>104</v>
      </c>
      <c r="C16" s="5">
        <v>0</v>
      </c>
      <c r="D16" s="5">
        <v>0</v>
      </c>
      <c r="E16" s="5">
        <v>0</v>
      </c>
      <c r="F16" s="6"/>
      <c r="G16" s="7">
        <f t="shared" si="0"/>
        <v>0</v>
      </c>
      <c r="H16" s="8">
        <f t="shared" si="1"/>
        <v>0</v>
      </c>
      <c r="I16" s="8" t="str">
        <f ca="1" t="shared" si="2"/>
        <v/>
      </c>
    </row>
    <row r="17" spans="1:9">
      <c r="A17" s="4" t="s">
        <v>104</v>
      </c>
      <c r="B17" s="4" t="s">
        <v>104</v>
      </c>
      <c r="C17" s="5">
        <v>0</v>
      </c>
      <c r="D17" s="5">
        <v>0</v>
      </c>
      <c r="E17" s="5">
        <v>0</v>
      </c>
      <c r="F17" s="6"/>
      <c r="G17" s="7">
        <f t="shared" si="0"/>
        <v>0</v>
      </c>
      <c r="H17" s="8">
        <f t="shared" si="1"/>
        <v>0</v>
      </c>
      <c r="I17" s="8" t="str">
        <f ca="1" t="shared" si="2"/>
        <v/>
      </c>
    </row>
    <row r="18" spans="1:9">
      <c r="A18" s="4" t="s">
        <v>104</v>
      </c>
      <c r="B18" s="4" t="s">
        <v>104</v>
      </c>
      <c r="C18" s="5">
        <v>0</v>
      </c>
      <c r="D18" s="5">
        <v>0</v>
      </c>
      <c r="E18" s="5">
        <v>0</v>
      </c>
      <c r="F18" s="6"/>
      <c r="G18" s="7">
        <f t="shared" si="0"/>
        <v>0</v>
      </c>
      <c r="H18" s="8">
        <f t="shared" si="1"/>
        <v>0</v>
      </c>
      <c r="I18" s="8" t="str">
        <f ca="1" t="shared" si="2"/>
        <v/>
      </c>
    </row>
    <row r="19" spans="1:9">
      <c r="A19" s="4" t="s">
        <v>104</v>
      </c>
      <c r="B19" s="4" t="s">
        <v>104</v>
      </c>
      <c r="C19" s="5">
        <v>0</v>
      </c>
      <c r="D19" s="5">
        <v>0</v>
      </c>
      <c r="E19" s="5">
        <v>0</v>
      </c>
      <c r="F19" s="6"/>
      <c r="G19" s="7">
        <f t="shared" si="0"/>
        <v>0</v>
      </c>
      <c r="H19" s="8">
        <f t="shared" si="1"/>
        <v>0</v>
      </c>
      <c r="I19" s="8" t="str">
        <f ca="1" t="shared" si="2"/>
        <v/>
      </c>
    </row>
    <row r="20" spans="1:9">
      <c r="A20" s="4" t="s">
        <v>104</v>
      </c>
      <c r="B20" s="4" t="s">
        <v>104</v>
      </c>
      <c r="C20" s="5">
        <v>0</v>
      </c>
      <c r="D20" s="5">
        <v>0</v>
      </c>
      <c r="E20" s="5">
        <v>0</v>
      </c>
      <c r="F20" s="6"/>
      <c r="G20" s="7">
        <f t="shared" si="0"/>
        <v>0</v>
      </c>
      <c r="H20" s="8">
        <f t="shared" si="1"/>
        <v>0</v>
      </c>
      <c r="I20" s="8" t="str">
        <f ca="1" t="shared" si="2"/>
        <v/>
      </c>
    </row>
    <row r="21" spans="1:9">
      <c r="A21" s="4" t="s">
        <v>104</v>
      </c>
      <c r="B21" s="4" t="s">
        <v>104</v>
      </c>
      <c r="C21" s="5">
        <v>0</v>
      </c>
      <c r="D21" s="5">
        <v>0</v>
      </c>
      <c r="E21" s="5">
        <v>0</v>
      </c>
      <c r="F21" s="6"/>
      <c r="G21" s="7">
        <f t="shared" si="0"/>
        <v>0</v>
      </c>
      <c r="H21" s="8">
        <f t="shared" si="1"/>
        <v>0</v>
      </c>
      <c r="I21" s="8" t="str">
        <f ca="1" t="shared" si="2"/>
        <v/>
      </c>
    </row>
  </sheetData>
  <mergeCells count="1">
    <mergeCell ref="A1:I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workbookViewId="0">
      <selection activeCell="A1" sqref="A1:D1"/>
    </sheetView>
  </sheetViews>
  <sheetFormatPr defaultColWidth="9" defaultRowHeight="16.8" outlineLevelRow="6"/>
  <cols>
    <col min="1" max="1" width="16" customWidth="1"/>
    <col min="2" max="2" width="60" customWidth="1"/>
    <col min="3" max="3" width="80" customWidth="1"/>
    <col min="4" max="4" width="32" customWidth="1"/>
  </cols>
  <sheetData>
    <row r="1" ht="26" customHeight="1" spans="1:26">
      <c r="A1" s="1" t="s">
        <v>267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ht="24" customHeight="1" spans="1:26">
      <c r="A3" s="3" t="s">
        <v>268</v>
      </c>
      <c r="B3" s="3" t="s">
        <v>2</v>
      </c>
      <c r="C3" s="3" t="s">
        <v>269</v>
      </c>
      <c r="D3" s="3" t="s">
        <v>115</v>
      </c>
    </row>
    <row r="4" ht="34" spans="1:26">
      <c r="A4" s="2" t="s">
        <v>270</v>
      </c>
      <c r="B4" s="2" t="s">
        <v>271</v>
      </c>
      <c r="C4" s="2" t="s">
        <v>272</v>
      </c>
      <c r="D4" s="2" t="s">
        <v>273</v>
      </c>
    </row>
    <row r="5" ht="17" spans="1:26">
      <c r="A5" s="2" t="s">
        <v>86</v>
      </c>
      <c r="B5" s="2" t="s">
        <v>274</v>
      </c>
      <c r="C5" s="2" t="s">
        <v>275</v>
      </c>
      <c r="D5" s="2" t="s">
        <v>276</v>
      </c>
    </row>
    <row r="6" ht="17" spans="1:26">
      <c r="A6" s="2" t="s">
        <v>277</v>
      </c>
      <c r="B6" s="2" t="s">
        <v>278</v>
      </c>
      <c r="C6" s="2" t="s">
        <v>279</v>
      </c>
      <c r="D6" s="2" t="s">
        <v>280</v>
      </c>
    </row>
    <row r="7" ht="17" spans="1:26">
      <c r="A7" s="2" t="s">
        <v>281</v>
      </c>
      <c r="B7" s="2" t="s">
        <v>282</v>
      </c>
      <c r="C7" s="2" t="s">
        <v>283</v>
      </c>
      <c r="D7" s="2" t="s">
        <v>284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使用说明</vt:lpstr>
      <vt:lpstr>参数设置</vt:lpstr>
      <vt:lpstr>流水记录</vt:lpstr>
      <vt:lpstr>收入规划</vt:lpstr>
      <vt:lpstr>月度预算</vt:lpstr>
      <vt:lpstr>月度仪表盘</vt:lpstr>
      <vt:lpstr>应急金</vt:lpstr>
      <vt:lpstr>债务管理</vt:lpstr>
      <vt:lpstr>资产配置</vt:lpstr>
      <vt:lpstr>目标计划</vt:lpstr>
      <vt:lpstr>资料来源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★涛★</cp:lastModifiedBy>
  <dcterms:created xsi:type="dcterms:W3CDTF">2026-05-26T21:42:00Z</dcterms:created>
  <dcterms:modified xsi:type="dcterms:W3CDTF">2026-05-27T10:05:53Z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2923FBFAA807D2713F33156A22AD4E38_42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